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<sst xmlns="http://schemas.openxmlformats.org/spreadsheetml/2006/main" count="467" uniqueCount="85">
  <si>
    <t/>
  </si>
  <si>
    <t>编号</t>
  </si>
  <si>
    <t>标题</t>
  </si>
  <si>
    <t>类型</t>
  </si>
  <si>
    <t>状态</t>
  </si>
  <si>
    <t>模块</t>
  </si>
  <si>
    <t>优先级顺序</t>
  </si>
  <si>
    <t>优先级</t>
  </si>
  <si>
    <t>重要程度</t>
  </si>
  <si>
    <t>父工作项标题</t>
  </si>
  <si>
    <t>父工作项编号</t>
  </si>
  <si>
    <t>领域</t>
  </si>
  <si>
    <t>发布版本号</t>
  </si>
  <si>
    <t>预计工时</t>
  </si>
  <si>
    <t>实际工时</t>
  </si>
  <si>
    <t>完成度</t>
  </si>
  <si>
    <t>迭代</t>
  </si>
  <si>
    <t>发现版本号</t>
  </si>
  <si>
    <t>发现环境</t>
  </si>
  <si>
    <t>故事点</t>
  </si>
  <si>
    <t>标签</t>
  </si>
  <si>
    <t>描述</t>
  </si>
  <si>
    <t>处理人</t>
  </si>
  <si>
    <t>创建人</t>
  </si>
  <si>
    <t>抄送人</t>
  </si>
  <si>
    <t>开发人员</t>
  </si>
  <si>
    <t>结束时间</t>
  </si>
  <si>
    <t>预计开始日期</t>
  </si>
  <si>
    <t>预计结束日期</t>
  </si>
  <si>
    <t>创建时间</t>
  </si>
  <si>
    <t>更新时间</t>
  </si>
  <si>
    <r>
      <rPr>
        <color indexed="12"/>
        <sz val="11.0"/>
        <rFont val="Calibri"/>
      </rPr>
      <t>小程序-有问必答首页增加登录/注册引导</t>
    </r>
  </si>
  <si>
    <r>
      <rPr>
        <color indexed="12"/>
        <sz val="11.0"/>
        <rFont val="Calibri"/>
      </rPr>
      <t>Story</t>
    </r>
  </si>
  <si>
    <r>
      <rPr>
        <color indexed="12"/>
        <sz val="11.0"/>
        <rFont val="Calibri"/>
      </rPr>
      <t>新建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</si>
  <si>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</si>
  <si>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一般</t>
    </r>
  </si>
  <si>
    <r>
      <rPr>
        <color indexed="12"/>
        <sz val="11.0"/>
        <rFont val="Calibri"/>
      </rPr>
      <t>Sprint22</t>
    </r>
  </si>
  <si>
    <t xml:space="preserve">
 【需求背景】
当前未登录用户进入有问必答首页时，缺少明显的登录/注册引导入口。首页增加登录/注册引导条，引导用户完成登录/注册，解锁更多小程序功能。
【入口与页面】
位置：有问必答首页搜索框下方、频道导航上方
展示对象：未登录用户（含未注册用户）
展示方式：引导条随首页正常滚动，不吸顶；不提供关闭按钮
【交互规则】
1、展示：有问必答首页每次展示时判断当前用户登录状态：
未登录用户首次进入首页 → 展示登录/注册引导条
未登录用户从帖子详情、互动专栏等其他页面返回首页 → 继续展示
已登录用户进入或返回首页 → 不展示
用户在帖子评论、发帖、向专家提问等其他场景完成登录后返回首页 → 不再展示
2、引导条内容：用户图标、提示文案「登录后即可向专家提问、发帖、评论，体验更多功能」、登录/注册按钮
3、点击：点击「登录/注册」→ 进入现有登录/注册页面
4、登录后：登录/注册成功返回有问必答首页 → 重新判断登录状态，引导条不再展示；未完成登录直接返回 → 继续展示引导条
</t>
  </si>
  <si>
    <r>
      <rPr>
        <color indexed="12"/>
        <sz val="11.0"/>
        <rFont val="Calibri"/>
      </rPr>
      <t>李小玉</t>
    </r>
  </si>
  <si>
    <r>
      <rPr>
        <color indexed="12"/>
        <sz val="11.0"/>
        <rFont val="Calibri"/>
      </rPr>
      <t>2026/09/20</t>
    </r>
  </si>
  <si>
    <r>
      <rPr>
        <color indexed="12"/>
        <sz val="11.0"/>
        <rFont val="Calibri"/>
      </rPr>
      <t>2026/10/13</t>
    </r>
  </si>
  <si>
    <r>
      <rPr>
        <color indexed="12"/>
        <sz val="11.0"/>
        <rFont val="Calibri"/>
      </rPr>
      <t>2026/09/16 10:02:34 GMT+08:00</t>
    </r>
  </si>
  <si>
    <r>
      <rPr>
        <color indexed="12"/>
        <sz val="11.0"/>
        <rFont val="Calibri"/>
      </rPr>
      <t>2026/09/17 09:24:12 GMT+08:00</t>
    </r>
  </si>
  <si>
    <r>
      <rPr>
        <color indexed="12"/>
        <sz val="11.0"/>
        <rFont val="Calibri"/>
      </rPr>
      <t>管理后台-通知中心增加偏好设置</t>
    </r>
  </si>
  <si>
    <t xml:space="preserve">
【需求背景】
管理后台通知中心新增“偏好设置”，用于控制后台通知和短信是否触发，精确收到消息
【入口与页面】
后台：通知中心，增加偏好设置按钮
【偏好设置弹窗】
1、站内通知
- 各项站内触发通知的开关：除了用户注册关闭外，其余开关都为开
2、短信通知
- 可配置项开关：企业培训、压铸服务预约、积分订单-实物、抽奖兑换-实物均为开
- 手机号配置：可填写11位手机号不超过5个，不少于一个
</t>
  </si>
  <si>
    <r>
      <rPr>
        <color indexed="12"/>
        <sz val="11.0"/>
        <rFont val="Calibri"/>
      </rPr>
      <t>chp.liu</t>
    </r>
  </si>
  <si>
    <r>
      <rPr>
        <color indexed="12"/>
        <sz val="11.0"/>
        <rFont val="Calibri"/>
      </rPr>
      <t>2026/09/11 09:41:48 GMT+08:00</t>
    </r>
  </si>
  <si>
    <r>
      <rPr>
        <color indexed="12"/>
        <sz val="11.0"/>
        <rFont val="Calibri"/>
      </rPr>
      <t>2026/09/17 14:13:16 GMT+08:00</t>
    </r>
  </si>
  <si>
    <r>
      <rPr>
        <color indexed="12"/>
        <sz val="11.0"/>
        <rFont val="Calibri"/>
      </rPr>
      <t>小程序-个人中心信息优化</t>
    </r>
  </si>
  <si>
    <t xml:space="preserve">
【需求背景】
个人中心内容空态和资料编辑优化
【入口与页面】
入口：小程序-个人中心
①默认头像与默认昵称提示
【规则和交互】
1、头像：默认头像——头像叠加遮罩并在头像正中显示笔图标，点击头像唤起编辑资料的头像编辑；非默认头像——不显示遮罩与笔图标，但可正常点击更换头像
2、昵称：默认名称（user_XX、SC_XX）——末尾显示笔图标，昵称文本与笔图标为同一可点区域，点击进入修改昵称页；非默认昵称——不显示笔图标，昵称可点击修改
3、简介：空态——「暂无个人介绍」＋末尾笔图标，点笔图标或整行进入编辑简介页；非空——显示简介文本与右箭头，点击可修改
4、地区：空态——不显示地区行；非空——显示地区，点击可选择切换地区
5、权限：登录用户本人——在个人中心首页可见并可使用头像、昵称、简介、地区四处编辑入口；非本人——不显示任何编辑提示且点击不响应
6、校验：个人资料的编辑和审核保持现有状态不变
②发布-「问答」子tab 空态
【规则和交互】
1、空态触发：已登录且无已发布问答且无本地草稿时显示空态：引导语「暂无发布内容，发布你的第一篇帖子吧」＋主按钮「发布帖子」
2、按钮去向：点「发布帖子」拉起与底部「发布按钮」完全一致的「选择问答类型」弹层（图文类问答、视频类问答），选择后进入帖子编辑页
3、适用范围：空态引导仅在「问答」子页签生效；「仿真案例」子页签保持存量空态文案不变
</t>
  </si>
  <si>
    <r>
      <rPr>
        <color indexed="12"/>
        <sz val="11.0"/>
        <rFont val="Calibri"/>
      </rPr>
      <t>2026/09/11 09:41:29 GMT+08:00</t>
    </r>
  </si>
  <si>
    <r>
      <rPr>
        <color indexed="12"/>
        <sz val="11.0"/>
        <rFont val="Calibri"/>
      </rPr>
      <t>2026/09/17 09:25:16 GMT+08:00</t>
    </r>
  </si>
  <si>
    <r>
      <rPr>
        <color indexed="12"/>
        <sz val="11.0"/>
        <rFont val="Calibri"/>
      </rPr>
      <t>小程序-专栏评论支持置顶操作</t>
    </r>
  </si>
  <si>
    <t xml:space="preserve">
1、专栏嘉宾具备置顶权限，置顶操作同帖子（长按显示置顶和取消置顶）仅互动期可使用置顶操作；置顶操作方式、数量要求、显示效果同帖子。（与帖子不同，作者本人的主评论不默认置顶）
2、后台具备置顶权限，打开评论数弹窗，在操作列支持置顶/取消置顶操作（仅一级评论显示），数量要求不变（后台和嘉宾一共最多5条）
3、屏蔽后，评论取消置顶，置顶数量重新计算，继续公开后该评论为非置顶状态（帖子和互动专栏）
</t>
  </si>
  <si>
    <r>
      <rPr>
        <color indexed="12"/>
        <sz val="11.0"/>
        <rFont val="Calibri"/>
      </rPr>
      <t>2026/09/10 16:50:30 GMT+08:00</t>
    </r>
  </si>
  <si>
    <r>
      <rPr>
        <color indexed="12"/>
        <sz val="11.0"/>
        <rFont val="Calibri"/>
      </rPr>
      <t>2026/09/28 17:17:11 GMT+08:00</t>
    </r>
  </si>
  <si>
    <r>
      <rPr>
        <color indexed="12"/>
        <sz val="11.0"/>
        <rFont val="Calibri"/>
      </rPr>
      <t>管理后台-答题活动批量导入答题解析</t>
    </r>
  </si>
  <si>
    <r>
      <rPr>
        <color indexed="12"/>
        <sz val="11.0"/>
        <rFont val="Calibri"/>
      </rPr>
      <t>高</t>
    </r>
  </si>
  <si>
    <t xml:space="preserve">
题目导入模板见附件
【需求背景】
为了支撑答题活动题目的配置，以及为后续课程的课前自测、课后习题题目配置搭好导入模板框架
【答题活动-批量导入】
1、初始状态：选择文件并上传，点击可选择文件xlsx导入，重复导入会覆盖源文件；下载模板，点击之后下载内置模板文件
2、模板列：序号 / 题型 / 题干 / 选项A~F / 正确答案 / 分值 / 解析
3、填写规范：题型填「单选题/多选题/判断题」；题干 1-200 字符必填；单选/多选选项 A-F 至少 2 项、每项 1-50 字符；判断题无需填选项；正确答案单选 1 个字母、多选多个英文逗号分隔（如 A,C）、判断题 A 或 B；分值正整数；解析 0-200 字符可选；单次导入 ≤15 条（超出部分无法导入）
4、单活动总量：单个答题活动题目总数 ≤15（批量导入单次 ≤15，且导入后累计不得超过 15）
5、导入预览：显示导入题目的列表，列表下显示“ 共 XX 行 · 可导入 XX 行 · 跳过 XX 行 "
【校验清单】
#
校验情形
判定
原因归类（服务端/日志留痕用，不入界面）
1
题型字段非法
非「单选题/多选题/判断题」三枚举
题型不符
2
题干缺失
为空或全空白
题干缺失
3
题干超长
&gt;200 字符
内容超长
4
选项不足
单选/多选有效选项 &lt;2（含空选项）
选项过少
5
选项超长
任一选项 &gt;50 字符
内容超长
6
选项内容重复
单选/多选两选项文本完全相同（trim 后比较）
选项重复
7
单选题答案数量错误
正确答案列非恰好 1 个字母
答案数量不符
8
多选题答案数量错误
正确答案列 &lt;2 个字母
答案数量不符
9
判断题答案非法
非 A 或 B（与固定选项 正确/错误 不匹配）
答案不符
10
答案不在选项内
正确答案字母超出已填选项范围
答案不在选项内
11
多选分隔符错误
多选答案用中文逗号「，」/空格/顿号分隔
格式错误（应为英文逗号 A,C）
12
分值缺失/非法
分值列为空或非正整数
分值缺失
13
解析超长
解析 &gt;200 字符
内容超长
14
单元格含图文/超链接
题干/选项/解析含图片或超链接（批量导入仅支持纯文本）
含图文/链接
15
数据列不完整
题型/题干/分值等必要列缺失
数据列缺失
16
超出单活动上限
导入后累计 &gt;15 题（按行序，成功部分先入，超出行不入库）
超出上限
17
判断题误填选项
判断题行选项 A~F 任一非空（判断题无需填选项）
格式错误（判断题不应填选项）
18
选项不连续
单选/多选选项未从 A 起连续填写（中间空档，如 A 有 B 空 C 有）
选项缺失（须从 A 起连续）
19
答案小写
正确答案含小写字母（如 a,c，规范要求大写 A~F）
格式错误（答案须大写）
20
超出单次上限
单次导入数据行 &gt;15 条（仅处理前 10 行，其余行不入库并提示）
超出单次上限
21
空行/示例残留
整行为空 → 跳过不报错；非空但含模板示例文字（如“单选题”表头样例残留） → 按题型不符拦截
题型不符/忽略空行
</t>
  </si>
  <si>
    <r>
      <rPr>
        <color indexed="12"/>
        <sz val="11.0"/>
        <rFont val="Calibri"/>
      </rPr>
      <t>2026/09/10 16:47:40 GMT+08:00</t>
    </r>
  </si>
  <si>
    <r>
      <rPr>
        <color indexed="12"/>
        <sz val="11.0"/>
        <rFont val="Calibri"/>
      </rPr>
      <t>2026/09/20 14:47:40 GMT+08:00</t>
    </r>
  </si>
  <si>
    <r>
      <rPr>
        <color indexed="12"/>
        <sz val="11.0"/>
        <rFont val="Calibri"/>
      </rPr>
      <t>小程序-互动专栏增加回顾总结文档</t>
    </r>
  </si>
  <si>
    <t xml:space="preserve">
【需求背景】
回顾期/结束阶段的互动专栏，在详情页评论区上方展示由后台上传的总结文档卡，支持关注嘉宾后下载
【入口与页面】
位置：互动专栏详情页正文下方、评论区上方
【交互规则】
1、展示：阶段=回顾期或结束且已上传→ 展示文档卡；预热期/互动期或未上传→ 不展示
2、文件展示内容：类型、文件名称、文件大小、下载图标
3、下载：
未登录：点击下载提示「请先登录」→ 跳转登录页，登录后回到互动专栏详情页
已登录未关注嘉宾：toast提示「下载总结文档需先关注嘉宾，快去关注吧」
已登录且已关注或嘉宾本人：完成下载，下载进度条参考帖子文件下载
4、失效兜底：后台删除文档后，重进详情页卡片即时消失；文件下载失败提示「文档不存在」； 
</t>
  </si>
  <si>
    <r>
      <rPr>
        <color indexed="12"/>
        <sz val="11.0"/>
        <rFont val="Calibri"/>
      </rPr>
      <t>2026/09/08 18:32:24 GMT+08:00</t>
    </r>
  </si>
  <si>
    <r>
      <rPr>
        <color indexed="12"/>
        <sz val="11.0"/>
        <rFont val="Calibri"/>
      </rPr>
      <t>2026/09/20 14:47:52 GMT+08:00</t>
    </r>
  </si>
  <si>
    <r>
      <rPr>
        <color indexed="12"/>
        <sz val="11.0"/>
        <rFont val="Calibri"/>
      </rPr>
      <t>管理后台-专栏管理功能优化</t>
    </r>
  </si>
  <si>
    <t xml:space="preserve">
【需求背景】
互动专栏回顾期/结束后，需上传总结文档供用户下载（复盘资料/结课文件）
【入口与页面】
后台：系统管理-首页内容管理-互动专栏管理列表-操作列「总结文档」弹窗
【交互规则】
1、入口显隐：阶段=回顾期或结束→ 操作列显示「总结文档」操作；未开始/预热期/互动期→ 隐藏入口；
「总结文档」弹窗
1、弹窗内提示：显示专栏名称和阶段
2、弹窗状态-未上传：
上传文件控件：文件选择资源管理器｜必填｜doc/docx/ppt/pptx/pdf（扩展名不区分大小写）｜单文件不超过100MB；
每专栏文档数：有且仅有1个
3、弹窗状态-已上传：
显示内容：文件名称、大小、上传时间
操作-下载预览：点击下载预览可唤起浏览器下载文件
操作-删除：二次确认提示「删除后小程序端将不再展示」，确定后回到未上传状态、可重新上传
</t>
  </si>
  <si>
    <r>
      <rPr>
        <color indexed="12"/>
        <sz val="11.0"/>
        <rFont val="Calibri"/>
      </rPr>
      <t>2026/09/08 18:25:56 GMT+08:00</t>
    </r>
  </si>
  <si>
    <r>
      <rPr>
        <color indexed="12"/>
        <sz val="11.0"/>
        <rFont val="Calibri"/>
      </rPr>
      <t>2026/09/20 14:47:49 GMT+08:00</t>
    </r>
  </si>
  <si>
    <r>
      <rPr>
        <color indexed="12"/>
        <sz val="11.0"/>
        <rFont val="Calibri"/>
      </rPr>
      <t>小程序-首页活动埋点数据分析</t>
    </r>
  </si>
  <si>
    <t xml:space="preserve">功能事件：
功能名称：点击活动，活动名称、活动类型、时间、用户ID、用户名称
功能名称：提交答题，活动名称、时间、用户ID、用户名称
浏览量：
页面名称：案例库首页
页面名称：案例详情页、预留字段填写案例名称和积分（免费为0）
</t>
  </si>
  <si>
    <r>
      <rPr>
        <color indexed="12"/>
        <sz val="11.0"/>
        <rFont val="Calibri"/>
      </rPr>
      <t>2026/09/08 18:23:25 GMT+08:00</t>
    </r>
  </si>
  <si>
    <r>
      <rPr>
        <color indexed="12"/>
        <sz val="11.0"/>
        <rFont val="Calibri"/>
      </rPr>
      <t>2026/09/28 09:23:00 GMT+08:00</t>
    </r>
  </si>
  <si>
    <r>
      <rPr>
        <color indexed="12"/>
        <sz val="11.0"/>
        <rFont val="Calibri"/>
      </rPr>
      <t>管理后台-首页活动管理</t>
    </r>
  </si>
  <si>
    <t xml:space="preserve">
原型见附件
【需求背景】
新增首页活动管理：后台系统管理下维护多类型活动，小程序首页内容流首块以活动轮播露出
【入口与页面】
后台：系统管理-新增独立小节「首页活动管理」
【活动弹窗】
1、选择类型（仅在新建时显示）
- 活动类型：单选卡｜必填｜创建后不可改（答题活动/图文/跳转链接）
2、通用信息
- 活动名称：输入框｜必填｜≤ 10 字
- 封面图：图片上传（png/jpg/jpeg 单张≤5MB）｜必填｜轮播卡素材
- 起止时间：日期时间｜必填｜未到开始=待开始、到点自动进行中、到结束自动已结束，今天≤开始时间≤结束时间，进行中状态编辑时，开始时间不可编辑
- 显示状态开关：开关｜默认开｜露出=状态进行中且开关开，已结束＝自动置关且不可改
3、类型配置——答题活动专属：
- 活动规则：输入框｜必填｜≤200 字
- 活动介绍图：图片上传（png/jpg/jpeg 单张≤5MB）｜必填｜答题详情头图
- 计入每日总上限开关：开关｜默认关｜表示答题活动是否计入每日上限
- 题目列表：单选/多选/判断，1题 ≤  数量  ≤ 15 题；发布后题干/选项/答案/积分锁定。支持逐题新增/编辑/删除/拖拽排序、批量导入（从本地上传解析）、从历史活动导入（下拉选择历史活动，可选项为答题活动类型，下拉框支持模糊搜索），15道题不分页
- 题目字段：题干：≤200 字＋多图（≤5 张）；选项：梳理2~6 且互不相同、每项≤50 字＋单图（可选≤5MB）；单选/判断答案1 个、多选≥2；判断题固定A正确/B错误；每题奖励积分正整数；解析 ≤200 字符可选
- 题目总数：单活动≤15（新增/批量/历史导入累计拦截，超出行不入库并提示）
- 批量导入：仅支持文本题目导入
- 导入勾选：批量导入与历史导入的题目列表均逐条勾选（默认不勾）；表头提供全选；勾选数受题目上限（15）实时约束——已达上限时未勾行视觉置灰但仍可点，点击置灰行即提示「题目数量已达上限」（不勾入）；全选同样受上限约束（可导入行多于额度时勾到上限、其余不勾并提示）；入库仅取勾选行；删除已有题目时导入面板保持打开（仅刷新额度）
- 发布确认：答题活动创建点击新建后，需二次确认（提示题目锁定）
3、类型配置——图文活动专属：
- 图文内容：活动主图（必填，png/jpg/jpeg 单张≤5MB）＋活动描述（必填≤200）＋内容段落（专栏式「小标题＋正文＋图片」三段式，各5个）
3、类型配置——跳转链接活动专属：
- 跳转目标：页面级/详情级二选一选择器，必填，页面-下拉单选（积分商城首页/签到/积分榜单/积分获取/积分抽奖/仿真案例库/压铸护航服务/培训课程/专栏/压铸百科）；详情 -对象类型下拉（礼品详情/话题详情/帖子详情/案例详情/课程详情）→ 支持名称模糊搜索的单选下拉框
- 跳转目标登录要求：登录要求同已有页面的限制
- 答题统计口径：参与（提交数/人数）、正确率、选项占比（单选/判断）、多选仅整题对错占比（不展开选项）、积分发放量（与流水对账一致）
【交互规则】
1、列表结构：排序列/活动ID/活动名称/类型/封面（可点击查看大图）/开始时间/结束时间/显示状态开关/状态标签（待开始·进行中·已结束）/操作列；
2、操作-编辑：待开始状态所有类型可编辑；进行中状态，都可编辑，但答题类型的题目锁定只读（无法新建/编辑/批量导入/历史导入/删除，允许查看题目详情，图片用缩略图，可点击查看大图）；已结束状态，答题类型置灰不可编辑；其余类型可编辑改期重发
3、操作-删除：点击后二次确认【是否确认删除？】确定后，删除活动，首页不再展示
4、操作-数据统计：仅答题类型显示，待开始统计置灰、进行中/已结束可看，点击后→进入数据统计独立子页
5、关联对象失效（跳转页面内容下架/删除）：显示开关强制关＋列内红 ! 悬停提示「关联项不存在，请重新编辑」
6、数量限制：首页轮播最多展示 5 个，按后台列表顺序取前 5 作为轮播集合，第 6 个及以后不进轮播（在显示状态列标注「未进轮播」）
   对课程管理-banner管理和积分活动管理的数量最多展示10个，第 11个及以后不进轮播（在显示状态列标注「未进轮播」）
7、排序：创建时间倒序排列，拖拽左侧的排序图标进行排序，小程序端按排序展示banner。
【数据统计子页】
1、概览：参与人数、正确率、积分发放量
2、题目详情数据：题目列表，每行展示序号、题目类型、题干（图片用缩略图，可点击查看大图）、正确率。每道题可展开查看详细数据
3、每题详细数据：各选项占比（单选/判断，正确选项用绿色字体标识）、多选仅整题对错占比（不展开选项，占比上方显示全部选项内容、正确选项用绿色字体标识）、解析； 每题提交用户列表，列＝用户ID｜用户名称｜作答结果（答对/答错）｜答题时间；支持按全部/答对/答错过滤，用户列表支持分页
</t>
  </si>
  <si>
    <r>
      <rPr>
        <color indexed="12"/>
        <sz val="11.0"/>
        <rFont val="Calibri"/>
      </rPr>
      <t>2026/09/08 18:01:24 GMT+08:00</t>
    </r>
  </si>
  <si>
    <r>
      <rPr>
        <color indexed="12"/>
        <sz val="11.0"/>
        <rFont val="Calibri"/>
      </rPr>
      <t>2026/09/29 13:44:51 GMT+08:00</t>
    </r>
  </si>
  <si>
    <r>
      <rPr>
        <color indexed="12"/>
        <sz val="11.0"/>
        <rFont val="Calibri"/>
      </rPr>
      <t>小程序-答题赢积分活动</t>
    </r>
  </si>
  <si>
    <t xml:space="preserve">
原型见附件
【需求背景】
答题得积分活动（整卷作答、答对发积分）
【核心流程】
1、答题流程：答题活动点击→答题页（整卷作答全部题完成才可提交、作答期间可修改）→ 提交答卷→ 逐题展示对错/解析＋完成结算卡
【交互规则】
1、作答：整卷一次性提交——登录用户须答完全部题目才能提交；提交前可修改
2、页面：
活动介绍部分：显示活动主图、活动名称、活动时间、活动规则
题目内容部分：吸顶常驻「已选N/总数· 答对最多可赢积分」、吸顶题序全览（展示全部题序，点击题号可平滑定位到题目并短暂高亮，区分未答/已选/答对/答错），每道题展示序号、题型、题干（图片可查看大图）、选项（图片可查看大图）、积分、状态（未答/已选/答对/答错）
3、提交：
全部题作答完成后按钮才可点击，提交后按钮变成"已提交已参加本次活动"状态，不可再次点击，弹出结算弹窗
结算弹窗-有答对项：显示“答题完成 · 获得 {n} 积分”和答对数/本轮得分/积分余额，按钮为查看解析（次）+去商城兑换（主）（点击后跳转积分商城页）
结算弹窗-无答对项：显示“已提交答卷，本轮未得分，下次活动继续加油！”，按钮为赚更多积分（次）（点击后跳转积分获取页）+查看解析（主）
查看解析：关闭弹窗，答题页面逐题展示正确答案/你的回答/解析（对题标对、错题标错），答对的题需要显示已获得该题的积分，更新进度条吸顶常驻「答对N/总数· 赢得积分X」
4、再次进入：答题页展示历史结果，不能再次作答；如未提交已选的选项不会保存
5、每日总积分上限：仅活动「计入每日总上限」开关开启时生效；以提交时刻当日已发累计判定，不超发；上限按自然日重置。
6、触发后的发放处理：答题应得积分≥当日剩余最多可获得积分时，按剩余值发放
8、结算卡文案：有答对题目且截断 →「由于积分每日上限的限制，本次活动应得XX 积分，实际获得XX 积分。」；有答对题目且已达上限，实发0→「您今日积分已达上限，本次答题活动不发放积分」，标题为「本轮答对N 题」。
9、吸顶栏说明：有答对题目且截断 → 得分处显示感叹号，点击弹出「您提交答题时由于积分上限的限制，本次活动应得XX 积分，实际获得XX 积分。」；有答对题目且已达上限，实发0 → 得分处显示感叹号，点击弹出「您提交答题时积分已达上限，答题活动积分不再发放」
【校验规则】
- 判分口径：单选/判断对则得该题分；多选=所选集合与答案集合完全一致才得分；答错不发不扣
- 答题详情页登录限制：整卷登录后，才能进入详情页；未登录需先完成登录
【积分明细】
- 答题活动积分：完成提交判断得积分后，在小程序用户的积分明细中生成活动积分数据，备注填写“活动名称”；在管理后台的用户积分明细列表中显示活动积分，类型—获得，板块—小程序，途径—答题活动积分，备注—活动ID，点击活动ID打开答题活动的弹窗（积分明细的弹窗和编辑答题活动弹窗完全相同，除了题目的查看按钮可点击，其余按钮仅查看不可编辑）
如果发放积分出现截断，用户积分明细备注填写“活动名称”+“（由于积分上限的限制实际获得XX积分）”
</t>
  </si>
  <si>
    <r>
      <rPr>
        <color indexed="12"/>
        <sz val="11.0"/>
        <rFont val="Calibri"/>
      </rPr>
      <t>2026/09/08 18:01:01 GMT+08:00</t>
    </r>
  </si>
  <si>
    <r>
      <rPr>
        <color indexed="12"/>
        <sz val="11.0"/>
        <rFont val="Calibri"/>
      </rPr>
      <t>2026/09/23 14:25:18 GMT+08:00</t>
    </r>
  </si>
  <si>
    <r>
      <rPr>
        <color indexed="12"/>
        <sz val="11.0"/>
        <rFont val="Calibri"/>
      </rPr>
      <t>小程序-有问必答首页增加活动入口</t>
    </r>
  </si>
  <si>
    <t xml:space="preserve">
【需求背景】
小程序首页内容流首块新增活动轮播：答题得积分活动、通用图文活动等
【入口与页面】
小程序有问必答首页帖子内容流第一篇（首页）活动轮播
【核心流程】
1、轮播展示：
管理后台配置的进行中且显示开关开的活动，顺序由后台列表拖拽配置；
多个活动自动循环可手动滑动查看；
无活动时整块隐藏、首帖位恢复展示帖子
在最新/推荐/精选/我的关注下都显示
需要适配卡片和列表两种形式
2、跳转页面：
答题活动类型→答题活动详情页
图文活动类型→图文活动详情页
跳转活动类型→点击后跳转后台配置的目标页/详情页（登录要求同已有页面的限制，如需登录页面且未登录时，点击后提示「请先登录」并跳转登录页，登录成功后回到首页）
</t>
  </si>
  <si>
    <r>
      <rPr>
        <color indexed="12"/>
        <sz val="11.0"/>
        <rFont val="Calibri"/>
      </rPr>
      <t>2026/09/08 17:59:39 GMT+08:00</t>
    </r>
  </si>
  <si>
    <r>
      <rPr>
        <color indexed="12"/>
        <sz val="11.0"/>
        <rFont val="Calibri"/>
      </rPr>
      <t>2026/09/20 14:47:30 GMT+08:00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</si>
</sst>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ht="12.75" customHeight="true">
      <c r="A2" s="5" t="str">
        <f>HYPERLINK("https://devcloud.cn-east-3.huaweicloud.com/projectman/scrum/78b2e310f37c4e28bfb3ef86179ac134/task/detail/713605723","713605723")</f>
        <v>713605723</v>
      </c>
      <c r="B2" s="2" t="s">
        <v>31</v>
      </c>
      <c r="C2" s="2" t="s">
        <v>32</v>
      </c>
      <c r="D2" s="2" t="s">
        <v>33</v>
      </c>
      <c r="E2" s="2" t="s">
        <v>0</v>
      </c>
      <c r="F2" s="4" t="n">
        <v>1.0</v>
      </c>
      <c r="G2" s="2" t="s">
        <v>34</v>
      </c>
      <c r="H2" s="2" t="s">
        <v>35</v>
      </c>
      <c r="I2" s="2"/>
      <c r="J2" s="2"/>
      <c r="K2" s="2"/>
      <c r="L2" s="2" t="s">
        <v>0</v>
      </c>
      <c r="M2" s="3" t="n">
        <v>10.0</v>
      </c>
      <c r="N2" s="3" t="n">
        <v>0.0</v>
      </c>
      <c r="O2" s="7" t="n">
        <v>0.0</v>
      </c>
      <c r="P2" s="2" t="s">
        <v>36</v>
      </c>
      <c r="Q2" s="2" t="s">
        <v>0</v>
      </c>
      <c r="R2" s="2" t="s">
        <v>0</v>
      </c>
      <c r="S2" s="4" t="n">
        <v>1.0</v>
      </c>
      <c r="T2" s="2" t="s">
        <v>0</v>
      </c>
      <c r="U2" s="2" t="s">
        <v>37</v>
      </c>
      <c r="V2" s="2" t="s">
        <v>38</v>
      </c>
      <c r="W2" s="2" t="s">
        <v>38</v>
      </c>
      <c r="X2" s="2"/>
      <c r="Y2" s="2"/>
      <c r="Z2" s="2"/>
      <c r="AA2" s="2" t="s">
        <v>39</v>
      </c>
      <c r="AB2" s="2" t="s">
        <v>40</v>
      </c>
      <c r="AC2" s="2" t="s">
        <v>41</v>
      </c>
      <c r="AD2" s="2" t="s">
        <v>42</v>
      </c>
    </row>
    <row r="3" ht="12.75" customHeight="true">
      <c r="A3" s="5" t="str">
        <f>HYPERLINK("https://devcloud.cn-east-3.huaweicloud.com/projectman/scrum/78b2e310f37c4e28bfb3ef86179ac134/task/detail/713598524","713598524")</f>
        <v>713598524</v>
      </c>
      <c r="B3" s="2" t="s">
        <v>43</v>
      </c>
      <c r="C3" s="2" t="s">
        <v>32</v>
      </c>
      <c r="D3" s="2" t="s">
        <v>33</v>
      </c>
      <c r="E3" s="2" t="s">
        <v>0</v>
      </c>
      <c r="F3" s="4" t="n">
        <v>1.0</v>
      </c>
      <c r="G3" s="2" t="s">
        <v>34</v>
      </c>
      <c r="H3" s="2" t="s">
        <v>35</v>
      </c>
      <c r="I3" s="2"/>
      <c r="J3" s="2"/>
      <c r="K3" s="2"/>
      <c r="L3" s="2" t="s">
        <v>0</v>
      </c>
      <c r="M3" s="3" t="n">
        <v>12.0</v>
      </c>
      <c r="N3" s="3" t="n">
        <v>0.0</v>
      </c>
      <c r="O3" s="7" t="n">
        <v>0.0</v>
      </c>
      <c r="P3" s="2" t="s">
        <v>36</v>
      </c>
      <c r="Q3" s="2" t="s">
        <v>0</v>
      </c>
      <c r="R3" s="2" t="s">
        <v>0</v>
      </c>
      <c r="S3" s="4" t="n">
        <v>1.0</v>
      </c>
      <c r="T3" s="2" t="s">
        <v>0</v>
      </c>
      <c r="U3" s="2" t="s">
        <v>44</v>
      </c>
      <c r="V3" s="2" t="s">
        <v>45</v>
      </c>
      <c r="W3" s="2" t="s">
        <v>45</v>
      </c>
      <c r="X3" s="2"/>
      <c r="Y3" s="2"/>
      <c r="Z3" s="2"/>
      <c r="AA3" s="2" t="s">
        <v>39</v>
      </c>
      <c r="AB3" s="2" t="s">
        <v>40</v>
      </c>
      <c r="AC3" s="2" t="s">
        <v>46</v>
      </c>
      <c r="AD3" s="2" t="s">
        <v>47</v>
      </c>
    </row>
    <row r="4" ht="12.75" customHeight="true">
      <c r="A4" s="5" t="str">
        <f>HYPERLINK("https://devcloud.cn-east-3.huaweicloud.com/projectman/scrum/78b2e310f37c4e28bfb3ef86179ac134/task/detail/713598522","713598522")</f>
        <v>713598522</v>
      </c>
      <c r="B4" s="2" t="s">
        <v>48</v>
      </c>
      <c r="C4" s="2" t="s">
        <v>32</v>
      </c>
      <c r="D4" s="2" t="s">
        <v>33</v>
      </c>
      <c r="E4" s="2" t="s">
        <v>0</v>
      </c>
      <c r="F4" s="4" t="n">
        <v>1.0</v>
      </c>
      <c r="G4" s="2" t="s">
        <v>34</v>
      </c>
      <c r="H4" s="2" t="s">
        <v>35</v>
      </c>
      <c r="I4" s="2"/>
      <c r="J4" s="2"/>
      <c r="K4" s="2"/>
      <c r="L4" s="2" t="s">
        <v>0</v>
      </c>
      <c r="M4" s="3" t="n">
        <v>12.0</v>
      </c>
      <c r="N4" s="3" t="n">
        <v>0.0</v>
      </c>
      <c r="O4" s="7" t="n">
        <v>0.0</v>
      </c>
      <c r="P4" s="2" t="s">
        <v>36</v>
      </c>
      <c r="Q4" s="2" t="s">
        <v>0</v>
      </c>
      <c r="R4" s="2" t="s">
        <v>0</v>
      </c>
      <c r="S4" s="4" t="n">
        <v>1.0</v>
      </c>
      <c r="T4" s="2" t="s">
        <v>0</v>
      </c>
      <c r="U4" s="2" t="s">
        <v>49</v>
      </c>
      <c r="V4" s="2" t="s">
        <v>45</v>
      </c>
      <c r="W4" s="2" t="s">
        <v>45</v>
      </c>
      <c r="X4" s="2"/>
      <c r="Y4" s="2"/>
      <c r="Z4" s="2"/>
      <c r="AA4" s="2" t="s">
        <v>39</v>
      </c>
      <c r="AB4" s="2" t="s">
        <v>40</v>
      </c>
      <c r="AC4" s="2" t="s">
        <v>50</v>
      </c>
      <c r="AD4" s="2" t="s">
        <v>51</v>
      </c>
    </row>
    <row r="5" ht="12.75" customHeight="true">
      <c r="A5" s="5" t="str">
        <f>HYPERLINK("https://devcloud.cn-east-3.huaweicloud.com/projectman/scrum/78b2e310f37c4e28bfb3ef86179ac134/task/detail/713597956","713597956")</f>
        <v>713597956</v>
      </c>
      <c r="B5" s="2" t="s">
        <v>52</v>
      </c>
      <c r="C5" s="2" t="s">
        <v>32</v>
      </c>
      <c r="D5" s="2" t="s">
        <v>33</v>
      </c>
      <c r="E5" s="2" t="s">
        <v>0</v>
      </c>
      <c r="F5" s="4" t="n">
        <v>1.0</v>
      </c>
      <c r="G5" s="2" t="s">
        <v>34</v>
      </c>
      <c r="H5" s="2" t="s">
        <v>35</v>
      </c>
      <c r="I5" s="2"/>
      <c r="J5" s="2"/>
      <c r="K5" s="2"/>
      <c r="L5" s="2" t="s">
        <v>0</v>
      </c>
      <c r="M5" s="3" t="n">
        <v>10.0</v>
      </c>
      <c r="N5" s="3" t="n">
        <v>0.0</v>
      </c>
      <c r="O5" s="7" t="n">
        <v>0.0</v>
      </c>
      <c r="P5" s="2" t="s">
        <v>36</v>
      </c>
      <c r="Q5" s="2" t="s">
        <v>0</v>
      </c>
      <c r="R5" s="2" t="s">
        <v>0</v>
      </c>
      <c r="S5" s="4" t="n">
        <v>1.0</v>
      </c>
      <c r="T5" s="2" t="s">
        <v>0</v>
      </c>
      <c r="U5" s="2" t="s">
        <v>53</v>
      </c>
      <c r="V5" s="2" t="s">
        <v>45</v>
      </c>
      <c r="W5" s="2" t="s">
        <v>45</v>
      </c>
      <c r="X5" s="2"/>
      <c r="Y5" s="2"/>
      <c r="Z5" s="2"/>
      <c r="AA5" s="2" t="s">
        <v>39</v>
      </c>
      <c r="AB5" s="2" t="s">
        <v>40</v>
      </c>
      <c r="AC5" s="2" t="s">
        <v>54</v>
      </c>
      <c r="AD5" s="2" t="s">
        <v>55</v>
      </c>
    </row>
    <row r="6" ht="12.75" customHeight="true">
      <c r="A6" s="5" t="str">
        <f>HYPERLINK("https://devcloud.cn-east-3.huaweicloud.com/projectman/scrum/78b2e310f37c4e28bfb3ef86179ac134/task/detail/713597955","713597955")</f>
        <v>713597955</v>
      </c>
      <c r="B6" s="2" t="s">
        <v>56</v>
      </c>
      <c r="C6" s="2" t="s">
        <v>32</v>
      </c>
      <c r="D6" s="2" t="s">
        <v>33</v>
      </c>
      <c r="E6" s="2" t="s">
        <v>0</v>
      </c>
      <c r="F6" s="4" t="n">
        <v>1.0</v>
      </c>
      <c r="G6" s="2" t="s">
        <v>57</v>
      </c>
      <c r="H6" s="2" t="s">
        <v>35</v>
      </c>
      <c r="I6" s="2"/>
      <c r="J6" s="2"/>
      <c r="K6" s="2"/>
      <c r="L6" s="2" t="s">
        <v>0</v>
      </c>
      <c r="M6" s="3" t="n">
        <v>14.0</v>
      </c>
      <c r="N6" s="3" t="n">
        <v>0.0</v>
      </c>
      <c r="O6" s="7" t="n">
        <v>0.0</v>
      </c>
      <c r="P6" s="2" t="s">
        <v>36</v>
      </c>
      <c r="Q6" s="2" t="s">
        <v>0</v>
      </c>
      <c r="R6" s="2" t="s">
        <v>0</v>
      </c>
      <c r="S6" s="4" t="n">
        <v>1.0</v>
      </c>
      <c r="T6" s="2" t="s">
        <v>0</v>
      </c>
      <c r="U6" s="2" t="s">
        <v>58</v>
      </c>
      <c r="V6" s="2" t="s">
        <v>45</v>
      </c>
      <c r="W6" s="2" t="s">
        <v>45</v>
      </c>
      <c r="X6" s="2"/>
      <c r="Y6" s="2"/>
      <c r="Z6" s="2"/>
      <c r="AA6" s="2" t="s">
        <v>39</v>
      </c>
      <c r="AB6" s="2" t="s">
        <v>40</v>
      </c>
      <c r="AC6" s="2" t="s">
        <v>59</v>
      </c>
      <c r="AD6" s="2" t="s">
        <v>60</v>
      </c>
    </row>
    <row r="7" ht="12.75" customHeight="true">
      <c r="A7" s="5" t="str">
        <f>HYPERLINK("https://devcloud.cn-east-3.huaweicloud.com/projectman/scrum/78b2e310f37c4e28bfb3ef86179ac134/task/detail/713595013","713595013")</f>
        <v>713595013</v>
      </c>
      <c r="B7" s="2" t="s">
        <v>61</v>
      </c>
      <c r="C7" s="2" t="s">
        <v>32</v>
      </c>
      <c r="D7" s="2" t="s">
        <v>33</v>
      </c>
      <c r="E7" s="2" t="s">
        <v>0</v>
      </c>
      <c r="F7" s="4" t="n">
        <v>1.0</v>
      </c>
      <c r="G7" s="2" t="s">
        <v>34</v>
      </c>
      <c r="H7" s="2" t="s">
        <v>35</v>
      </c>
      <c r="I7" s="2"/>
      <c r="J7" s="2"/>
      <c r="K7" s="2"/>
      <c r="L7" s="2" t="s">
        <v>0</v>
      </c>
      <c r="M7" s="3" t="n">
        <v>8.0</v>
      </c>
      <c r="N7" s="3" t="n">
        <v>0.0</v>
      </c>
      <c r="O7" s="7" t="n">
        <v>0.0</v>
      </c>
      <c r="P7" s="2" t="s">
        <v>36</v>
      </c>
      <c r="Q7" s="2" t="s">
        <v>0</v>
      </c>
      <c r="R7" s="2" t="s">
        <v>0</v>
      </c>
      <c r="S7" s="4" t="n">
        <v>1.0</v>
      </c>
      <c r="T7" s="2" t="s">
        <v>0</v>
      </c>
      <c r="U7" s="2" t="s">
        <v>62</v>
      </c>
      <c r="V7" s="2" t="s">
        <v>45</v>
      </c>
      <c r="W7" s="2" t="s">
        <v>45</v>
      </c>
      <c r="X7" s="2"/>
      <c r="Y7" s="2"/>
      <c r="Z7" s="2"/>
      <c r="AA7" s="2" t="s">
        <v>39</v>
      </c>
      <c r="AB7" s="2" t="s">
        <v>40</v>
      </c>
      <c r="AC7" s="2" t="s">
        <v>63</v>
      </c>
      <c r="AD7" s="2" t="s">
        <v>64</v>
      </c>
    </row>
    <row r="8" ht="12.75" customHeight="true">
      <c r="A8" s="5" t="str">
        <f>HYPERLINK("https://devcloud.cn-east-3.huaweicloud.com/projectman/scrum/78b2e310f37c4e28bfb3ef86179ac134/task/detail/713595000","713595000")</f>
        <v>713595000</v>
      </c>
      <c r="B8" s="2" t="s">
        <v>65</v>
      </c>
      <c r="C8" s="2" t="s">
        <v>32</v>
      </c>
      <c r="D8" s="2" t="s">
        <v>33</v>
      </c>
      <c r="E8" s="2" t="s">
        <v>0</v>
      </c>
      <c r="F8" s="4" t="n">
        <v>1.0</v>
      </c>
      <c r="G8" s="2" t="s">
        <v>34</v>
      </c>
      <c r="H8" s="2" t="s">
        <v>35</v>
      </c>
      <c r="I8" s="2"/>
      <c r="J8" s="2"/>
      <c r="K8" s="2"/>
      <c r="L8" s="2" t="s">
        <v>0</v>
      </c>
      <c r="M8" s="3" t="n">
        <v>8.0</v>
      </c>
      <c r="N8" s="3" t="n">
        <v>0.0</v>
      </c>
      <c r="O8" s="7" t="n">
        <v>0.0</v>
      </c>
      <c r="P8" s="2" t="s">
        <v>36</v>
      </c>
      <c r="Q8" s="2" t="s">
        <v>0</v>
      </c>
      <c r="R8" s="2" t="s">
        <v>0</v>
      </c>
      <c r="S8" s="4" t="n">
        <v>1.0</v>
      </c>
      <c r="T8" s="2" t="s">
        <v>0</v>
      </c>
      <c r="U8" s="2" t="s">
        <v>66</v>
      </c>
      <c r="V8" s="2" t="s">
        <v>45</v>
      </c>
      <c r="W8" s="2" t="s">
        <v>45</v>
      </c>
      <c r="X8" s="2"/>
      <c r="Y8" s="2"/>
      <c r="Z8" s="2"/>
      <c r="AA8" s="2" t="s">
        <v>39</v>
      </c>
      <c r="AB8" s="2" t="s">
        <v>40</v>
      </c>
      <c r="AC8" s="2" t="s">
        <v>67</v>
      </c>
      <c r="AD8" s="2" t="s">
        <v>68</v>
      </c>
    </row>
    <row r="9" ht="12.75" customHeight="true">
      <c r="A9" s="5" t="str">
        <f>HYPERLINK("https://devcloud.cn-east-3.huaweicloud.com/projectman/scrum/78b2e310f37c4e28bfb3ef86179ac134/task/detail/713594997","713594997")</f>
        <v>713594997</v>
      </c>
      <c r="B9" s="2" t="s">
        <v>69</v>
      </c>
      <c r="C9" s="2" t="s">
        <v>32</v>
      </c>
      <c r="D9" s="2" t="s">
        <v>33</v>
      </c>
      <c r="E9" s="2" t="s">
        <v>0</v>
      </c>
      <c r="F9" s="4" t="n">
        <v>1.0</v>
      </c>
      <c r="G9" s="2" t="s">
        <v>57</v>
      </c>
      <c r="H9" s="2" t="s">
        <v>35</v>
      </c>
      <c r="I9" s="2"/>
      <c r="J9" s="2"/>
      <c r="K9" s="2"/>
      <c r="L9" s="2" t="s">
        <v>0</v>
      </c>
      <c r="M9" s="3" t="n">
        <v>5.0</v>
      </c>
      <c r="N9" s="3" t="n">
        <v>0.0</v>
      </c>
      <c r="O9" s="7" t="n">
        <v>0.0</v>
      </c>
      <c r="P9" s="2" t="s">
        <v>36</v>
      </c>
      <c r="Q9" s="2" t="s">
        <v>0</v>
      </c>
      <c r="R9" s="2" t="s">
        <v>0</v>
      </c>
      <c r="S9" s="4" t="n">
        <v>1.0</v>
      </c>
      <c r="T9" s="2" t="s">
        <v>0</v>
      </c>
      <c r="U9" s="2" t="s">
        <v>70</v>
      </c>
      <c r="V9" s="2" t="s">
        <v>45</v>
      </c>
      <c r="W9" s="2" t="s">
        <v>45</v>
      </c>
      <c r="X9" s="2"/>
      <c r="Y9" s="2"/>
      <c r="Z9" s="2"/>
      <c r="AA9" s="2" t="s">
        <v>39</v>
      </c>
      <c r="AB9" s="2" t="s">
        <v>40</v>
      </c>
      <c r="AC9" s="2" t="s">
        <v>71</v>
      </c>
      <c r="AD9" s="2" t="s">
        <v>72</v>
      </c>
    </row>
    <row r="10" ht="12.75" customHeight="true">
      <c r="A10" s="5" t="str">
        <f>HYPERLINK("https://devcloud.cn-east-3.huaweicloud.com/projectman/scrum/78b2e310f37c4e28bfb3ef86179ac134/task/detail/713594986","713594986")</f>
        <v>713594986</v>
      </c>
      <c r="B10" s="2" t="s">
        <v>73</v>
      </c>
      <c r="C10" s="2" t="s">
        <v>32</v>
      </c>
      <c r="D10" s="2" t="s">
        <v>33</v>
      </c>
      <c r="E10" s="2" t="s">
        <v>0</v>
      </c>
      <c r="F10" s="4" t="n">
        <v>1.0</v>
      </c>
      <c r="G10" s="2" t="s">
        <v>57</v>
      </c>
      <c r="H10" s="2" t="s">
        <v>35</v>
      </c>
      <c r="I10" s="2"/>
      <c r="J10" s="2"/>
      <c r="K10" s="2"/>
      <c r="L10" s="2" t="s">
        <v>0</v>
      </c>
      <c r="M10" s="3" t="n">
        <v>20.0</v>
      </c>
      <c r="N10" s="3" t="n">
        <v>0.0</v>
      </c>
      <c r="O10" s="7" t="n">
        <v>0.0</v>
      </c>
      <c r="P10" s="2" t="s">
        <v>36</v>
      </c>
      <c r="Q10" s="2" t="s">
        <v>0</v>
      </c>
      <c r="R10" s="2" t="s">
        <v>0</v>
      </c>
      <c r="S10" s="4" t="n">
        <v>1.0</v>
      </c>
      <c r="T10" s="2" t="s">
        <v>0</v>
      </c>
      <c r="U10" s="2" t="s">
        <v>74</v>
      </c>
      <c r="V10" s="2" t="s">
        <v>45</v>
      </c>
      <c r="W10" s="2" t="s">
        <v>45</v>
      </c>
      <c r="X10" s="2"/>
      <c r="Y10" s="2"/>
      <c r="Z10" s="2"/>
      <c r="AA10" s="2" t="s">
        <v>39</v>
      </c>
      <c r="AB10" s="2" t="s">
        <v>40</v>
      </c>
      <c r="AC10" s="2" t="s">
        <v>75</v>
      </c>
      <c r="AD10" s="2" t="s">
        <v>76</v>
      </c>
    </row>
    <row r="11" ht="12.75" customHeight="true">
      <c r="A11" s="5" t="str">
        <f>HYPERLINK("https://devcloud.cn-east-3.huaweicloud.com/projectman/scrum/78b2e310f37c4e28bfb3ef86179ac134/task/detail/713594985","713594985")</f>
        <v>713594985</v>
      </c>
      <c r="B11" s="2" t="s">
        <v>77</v>
      </c>
      <c r="C11" s="2" t="s">
        <v>32</v>
      </c>
      <c r="D11" s="2" t="s">
        <v>33</v>
      </c>
      <c r="E11" s="2" t="s">
        <v>0</v>
      </c>
      <c r="F11" s="4" t="n">
        <v>1.0</v>
      </c>
      <c r="G11" s="2" t="s">
        <v>57</v>
      </c>
      <c r="H11" s="2" t="s">
        <v>35</v>
      </c>
      <c r="I11" s="2"/>
      <c r="J11" s="2"/>
      <c r="K11" s="2"/>
      <c r="L11" s="2" t="s">
        <v>0</v>
      </c>
      <c r="M11" s="3" t="n">
        <v>20.0</v>
      </c>
      <c r="N11" s="3" t="n">
        <v>0.0</v>
      </c>
      <c r="O11" s="7" t="n">
        <v>0.0</v>
      </c>
      <c r="P11" s="2" t="s">
        <v>36</v>
      </c>
      <c r="Q11" s="2" t="s">
        <v>0</v>
      </c>
      <c r="R11" s="2" t="s">
        <v>0</v>
      </c>
      <c r="S11" s="4" t="n">
        <v>1.0</v>
      </c>
      <c r="T11" s="2" t="s">
        <v>0</v>
      </c>
      <c r="U11" s="2" t="s">
        <v>78</v>
      </c>
      <c r="V11" s="2" t="s">
        <v>45</v>
      </c>
      <c r="W11" s="2" t="s">
        <v>45</v>
      </c>
      <c r="X11" s="2"/>
      <c r="Y11" s="2"/>
      <c r="Z11" s="2"/>
      <c r="AA11" s="2" t="s">
        <v>39</v>
      </c>
      <c r="AB11" s="2" t="s">
        <v>40</v>
      </c>
      <c r="AC11" s="2" t="s">
        <v>79</v>
      </c>
      <c r="AD11" s="2" t="s">
        <v>80</v>
      </c>
    </row>
    <row r="12" ht="12.75" customHeight="true">
      <c r="A12" s="5" t="str">
        <f>HYPERLINK("https://devcloud.cn-east-3.huaweicloud.com/projectman/scrum/78b2e310f37c4e28bfb3ef86179ac134/task/detail/713594979","713594979")</f>
        <v>713594979</v>
      </c>
      <c r="B12" s="2" t="s">
        <v>81</v>
      </c>
      <c r="C12" s="2" t="s">
        <v>32</v>
      </c>
      <c r="D12" s="2" t="s">
        <v>33</v>
      </c>
      <c r="E12" s="2" t="s">
        <v>0</v>
      </c>
      <c r="F12" s="4" t="n">
        <v>1.0</v>
      </c>
      <c r="G12" s="2" t="s">
        <v>57</v>
      </c>
      <c r="H12" s="2" t="s">
        <v>35</v>
      </c>
      <c r="I12" s="2"/>
      <c r="J12" s="2"/>
      <c r="K12" s="2"/>
      <c r="L12" s="2" t="s">
        <v>0</v>
      </c>
      <c r="M12" s="3" t="n">
        <v>12.0</v>
      </c>
      <c r="N12" s="3" t="n">
        <v>0.0</v>
      </c>
      <c r="O12" s="7" t="n">
        <v>0.0</v>
      </c>
      <c r="P12" s="2" t="s">
        <v>36</v>
      </c>
      <c r="Q12" s="2" t="s">
        <v>0</v>
      </c>
      <c r="R12" s="2" t="s">
        <v>0</v>
      </c>
      <c r="S12" s="4" t="n">
        <v>1.0</v>
      </c>
      <c r="T12" s="2" t="s">
        <v>0</v>
      </c>
      <c r="U12" s="2" t="s">
        <v>82</v>
      </c>
      <c r="V12" s="2" t="s">
        <v>45</v>
      </c>
      <c r="W12" s="2" t="s">
        <v>45</v>
      </c>
      <c r="X12" s="2"/>
      <c r="Y12" s="2"/>
      <c r="Z12" s="2"/>
      <c r="AA12" s="2" t="s">
        <v>39</v>
      </c>
      <c r="AB12" s="2" t="s">
        <v>40</v>
      </c>
      <c r="AC12" s="2" t="s">
        <v>83</v>
      </c>
      <c r="AD12" s="2" t="s">
        <v>84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2026-10-09T08:55:35Z</dcterms:created>
  <dc:creator>Apache POI</dc:creator>
</cp:coreProperties>
</file>