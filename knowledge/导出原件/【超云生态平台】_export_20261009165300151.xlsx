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项列表" r:id="rId3" sheetId="1"/>
  </sheets>
</workbook>
</file>

<file path=xl/sharedStrings.xml><?xml version="1.0" encoding="utf-8"?>
<sst xmlns="http://schemas.openxmlformats.org/spreadsheetml/2006/main" count="301" uniqueCount="75">
  <si>
    <t/>
  </si>
  <si>
    <t>编号</t>
  </si>
  <si>
    <t>标题</t>
  </si>
  <si>
    <t>结束时间</t>
  </si>
  <si>
    <t>状态</t>
  </si>
  <si>
    <t>处理人</t>
  </si>
  <si>
    <t>预计开始日期</t>
  </si>
  <si>
    <t>预计结束日期</t>
  </si>
  <si>
    <t>优先级</t>
  </si>
  <si>
    <t>创建时间</t>
  </si>
  <si>
    <t>实际工时</t>
  </si>
  <si>
    <t>完成度</t>
  </si>
  <si>
    <t>类型</t>
  </si>
  <si>
    <t>描述</t>
  </si>
  <si>
    <t>更新时间</t>
  </si>
  <si>
    <r>
      <rPr>
        <color indexed="12"/>
        <sz val="11.0"/>
        <rFont val="Calibri"/>
      </rPr>
      <t>小程序-提交订单或预约后客服联系方式优化</t>
    </r>
  </si>
  <si>
    <r>
      <rPr>
        <color indexed="12"/>
        <sz val="11.0"/>
        <rFont val="Calibri"/>
      </rPr>
      <t>2026/09/23 14:48:28 GMT+08:00</t>
    </r>
  </si>
  <si>
    <r>
      <rPr>
        <color indexed="12"/>
        <sz val="11.0"/>
        <rFont val="Calibri"/>
      </rPr>
      <t>已关闭</t>
    </r>
  </si>
  <si>
    <r>
      <rPr>
        <color indexed="12"/>
        <sz val="11.0"/>
        <rFont val="Calibri"/>
      </rPr>
      <t>chp.liu</t>
    </r>
  </si>
  <si>
    <r>
      <rPr>
        <color indexed="12"/>
        <sz val="11.0"/>
        <rFont val="Calibri"/>
      </rPr>
      <t>2026/09/07</t>
    </r>
  </si>
  <si>
    <r>
      <rPr>
        <color indexed="12"/>
        <sz val="11.0"/>
        <rFont val="Calibri"/>
      </rPr>
      <t>2026/09/22</t>
    </r>
  </si>
  <si>
    <r>
      <rPr>
        <color indexed="12"/>
        <sz val="11.0"/>
        <rFont val="Calibri"/>
      </rPr>
      <t>中</t>
    </r>
  </si>
  <si>
    <r>
      <rPr>
        <color indexed="12"/>
        <sz val="11.0"/>
        <rFont val="Calibri"/>
      </rPr>
      <t>2026/09/07 16:31:10 GMT+08:00</t>
    </r>
  </si>
  <si>
    <r>
      <rPr>
        <color indexed="12"/>
        <sz val="11.0"/>
        <rFont val="Calibri"/>
      </rPr>
      <t>Story</t>
    </r>
  </si>
  <si>
    <t xml:space="preserve">1、企业培训提交成功后的反馈页面增加客服二维码，提示语改成“我们将尽快与您联系，更多内容欢迎咨询在线客服”
2、线下培训、企业培训、用户反馈、预约压铸服务、训练营课程、虚拟类礼品兑换提交和兑换详情（包含抽奖）的客服二维码支持长按识别
</t>
  </si>
  <si>
    <r>
      <rPr>
        <color indexed="12"/>
        <sz val="11.0"/>
        <rFont val="Calibri"/>
      </rPr>
      <t>管理后台-通知中心优化</t>
    </r>
  </si>
  <si>
    <r>
      <rPr>
        <color indexed="12"/>
        <sz val="11.0"/>
        <rFont val="Calibri"/>
      </rPr>
      <t>2026/09/23 14:48:33 GMT+08:00</t>
    </r>
  </si>
  <si>
    <r>
      <rPr>
        <color indexed="12"/>
        <sz val="11.0"/>
        <rFont val="Calibri"/>
      </rPr>
      <t>2026/09/01 15:35:10 GMT+08:00</t>
    </r>
  </si>
  <si>
    <t xml:space="preserve">
1、新用户注册的管理后台通知提醒停用
2、通知中心有新投诉通知、投诉反馈通知、新积分订单通知、订单取消通知、新用户反馈通知、新培训定制通知、新培训报名通知、新课程订单通知、新护航服务预约通知、实物中奖兑换通知的未读消息时，左侧导航栏的标签页所在行及其父模块行显示红点，点击标签页后红点取消；当父模块下所有的子标签页红点都消失时，其红点才会取消显示
3、抽奖管理-中奖记录下，筛选栏的状态下拉字段补充“待兑换”枚举值
标签页
通知标题
消息内容
触发场景
红点提醒
已读条件
投诉管理
新投诉通知
投诉ID：{投诉ID}，用户{投诉人名称}投诉{被投诉人名称}的帖子《{被投诉帖子标题}》涉及{投诉原因}，请及时查看处理！
用户提交新投诉
√
通知中心点击通知
或
直接从标签页进入，点击了用户相关的数据行的消息或者对投诉完成处理
投诉管理
投诉反馈通知
用户{用户名称}提交了新的投诉相关举证信息，请及时查看处理！
(被)投诉人补充举证材料，每日15：00用户发送消息仍为未读时触发通知，同一用户一天只发送一条通知
√
通知中心点击通知
或
直接从标签页进入，点击了用户相关的数据行的消息或者对投诉完成处理
订单管理
新积分订单通知
订单ID：{积分订单ID}，用户名称：{用户名称}，礼品名称：{礼品名称}，状态：{订单状态}，请及时查看处理！
实物或虚拟性质订单
√
通知中心点击通知
或
直接从标签页进入，对实物订单完成发货或取消订单/对虚拟订单完成兑换或取消订单
订单管理
订单取消通知
订单ID：{订单ID}，用户{用户名称}自行取消了该订单，请及时查看处理！
用户取消订单
√
通知中心点击通知
抽奖管理
新中奖通知
中奖ID：{中奖ID}，用户名称：{用户名称}，奖品名称：{奖品名称}，状态：{中奖记录状态}，请及时查看处理！
实物或虚拟（谢谢参与、积分奖除外）性质订单
用户列表
新用户注册通知
用户{用户手机号}注册了小程序，去看看吧！
用户注册
用户反馈
新用户反馈通知
用户{用户名称}对压铸百科的{章节名称}-{小节名称}提交了优化建议，请及时查看处理！
用户提交反馈
√
通知中心点击通知
或
直接从标签页进入，对用户反馈标记为已处理
企业培训
新培训定制通知
用户{预约填写的姓名}提交了企业培训定制需求，请及时查看处理！
用户提交新企业培训
√
通知中心点击通知
或
直接从标签页进入，对培训标记为已处理
线下培训
新培训报名通知
用户{用户名称}报名了{培训主题名称}，请及时查看处理！
用户提交线下培训报名
√
通知中心点击通知
课程订单
新课程订单通知
订单ID：{课程订单ID}，用户名称：{用户名称}，课程名称：{课程名称}，状态：{订单状态}，去看看吧！
用户购买课程
√
通知中心点击通知
服务预约管理
新护航服务预约通知
用户{预约填写的姓名}提交了压铸护航服务预约需求，请及时查看处理！
用户提交护航服务预约
√
通知中心点击通知
或
直接从标签页进入，对预约标记为已处理
抽奖管理
实物中奖兑换通知
中奖ID：{中奖ID}，用户名称：{用户名称}，奖品名称：{奖品名称}，状态：{中奖记录状态}，请及时查看处理！
用户抽奖的实物完成地址填写提交兑换
√
通知中心点击通知
或
直接从标签页进入，对抽奖实物兑换订单完成发货
</t>
  </si>
  <si>
    <r>
      <rPr>
        <color indexed="12"/>
        <sz val="11.0"/>
        <rFont val="Calibri"/>
      </rPr>
      <t>小程序-有问必答搜索空状态优化</t>
    </r>
  </si>
  <si>
    <r>
      <rPr>
        <color indexed="12"/>
        <sz val="11.0"/>
        <rFont val="Calibri"/>
      </rPr>
      <t>2026/09/23 14:48:37 GMT+08:00</t>
    </r>
  </si>
  <si>
    <r>
      <rPr>
        <color indexed="12"/>
        <sz val="11.0"/>
        <rFont val="Calibri"/>
      </rPr>
      <t>2026/08/30 15:00:45 GMT+08:00</t>
    </r>
  </si>
  <si>
    <t xml:space="preserve">
需求描述：
有问必答首页搜索执行搜索且零结果时，空态展示 AI 引导「没有找到相关内容？让小铸手帮你答」，点击「问小铸手」按钮直接跳转 AI 小铸手对话页
未登录走既有登录，如继续未登录点击返回回搜索页，如完成登录直接进入AI小铸手页面
范围仅限有问必答首页搜索，结果 tab 为「全部回答/相关用户」，仅「全部回答」零结果时展示 AI 引导，「相关用户」零结果为普通空态，初始未搜索态不展示
有结果搜索不出现引导模块
</t>
  </si>
  <si>
    <r>
      <rPr>
        <color indexed="12"/>
        <sz val="11.0"/>
        <rFont val="Calibri"/>
      </rPr>
      <t>小程序-AI回答增加点赞与不喜欢反馈</t>
    </r>
  </si>
  <si>
    <r>
      <rPr>
        <color indexed="12"/>
        <sz val="11.0"/>
        <rFont val="Calibri"/>
      </rPr>
      <t>2026/09/23 14:48:41 GMT+08:00</t>
    </r>
  </si>
  <si>
    <r>
      <rPr>
        <color indexed="12"/>
        <sz val="11.0"/>
        <rFont val="Calibri"/>
      </rPr>
      <t>2026/08/29 20:30:31 GMT+08:00</t>
    </r>
  </si>
  <si>
    <t xml:space="preserve">
需求描述：
铸问AI助手对话页每条 AI 回答气泡下方新增「点赞」「不喜欢」反馈按钮
逐行回复完成后显示，回复进行中不显示
点击高亮、再点取消，赞/踩互斥切换（同一时刻至多一个态度）
仅登录用户可反馈，重进会话/历史回顾保留既有反馈状态
</t>
  </si>
  <si>
    <r>
      <rPr>
        <color indexed="12"/>
        <sz val="11.0"/>
        <rFont val="Calibri"/>
      </rPr>
      <t>小程序-悬浮按钮和引导动画埋点分析</t>
    </r>
  </si>
  <si>
    <r>
      <rPr>
        <color indexed="12"/>
        <sz val="11.0"/>
        <rFont val="Calibri"/>
      </rPr>
      <t>2026/09/23 14:48:46 GMT+08:00</t>
    </r>
  </si>
  <si>
    <r>
      <rPr>
        <color indexed="12"/>
        <sz val="11.0"/>
        <rFont val="Calibri"/>
      </rPr>
      <t>2026/08/28 19:00:32 GMT+08:00</t>
    </r>
  </si>
  <si>
    <t xml:space="preserve">功能事件：
点赞AI回答：问题名称、用户名称、用户ID、回答内容
不喜欢AI回答：问题名称、用户名称、用户ID、回答内容
点击问小铸手按钮：搜索内容、点击时间、用户名称、用户ID
点击悬浮按钮：按钮类型（积分商城等）、点击时间、用户名称、用户ID
点击悬浮引导动画按钮：按钮类型（积分商城等）、点击时间、用户名称、用户ID
点击悬浮关闭引导动画按钮：按钮类型（积分商城等）、点击时间、用户名称、用户ID
订阅专栏：专栏名称、互动时间、订阅时间、用户名称、用户ID
</t>
  </si>
  <si>
    <r>
      <rPr>
        <color indexed="12"/>
        <sz val="11.0"/>
        <rFont val="Calibri"/>
      </rPr>
      <t>小程序-积分商城增加回到顶部按钮</t>
    </r>
  </si>
  <si>
    <r>
      <rPr>
        <color indexed="12"/>
        <sz val="11.0"/>
        <rFont val="Calibri"/>
      </rPr>
      <t>2026/09/23 14:48:50 GMT+08:00</t>
    </r>
  </si>
  <si>
    <r>
      <rPr>
        <color indexed="12"/>
        <sz val="11.0"/>
        <rFont val="Calibri"/>
      </rPr>
      <t>2026/08/28 19:00:03 GMT+08:00</t>
    </r>
  </si>
  <si>
    <t xml:space="preserve">
需求描述
积分商城首页右下角新增「回到顶部」悬浮按钮：滚动超过 1.5 屏 后淡入出现，点击平滑滚动回顶部且按钮隐藏，滚回阈值以内淡出隐藏，内容不足阈值始终不显示
仅积分商城首页生效，其他页面不出现该按钮
页面初始（未滚动）状态回到顶部按钮不显示，内容不足 1.5 屏阈值的页面无按钮出现
按钮不遮挡底部导航
积分规则：分享任意页面的内容，都能计入分享积分（压铸护航服务、套餐详情等）
</t>
  </si>
  <si>
    <r>
      <rPr>
        <color indexed="12"/>
        <sz val="11.0"/>
        <rFont val="Calibri"/>
      </rPr>
      <t>小程序-订单发货和新订单短信提醒</t>
    </r>
  </si>
  <si>
    <r>
      <rPr>
        <color indexed="12"/>
        <sz val="11.0"/>
        <rFont val="Calibri"/>
      </rPr>
      <t>2026/09/23 14:48:54 GMT+08:00</t>
    </r>
  </si>
  <si>
    <r>
      <rPr>
        <color indexed="12"/>
        <sz val="11.0"/>
        <rFont val="Calibri"/>
      </rPr>
      <t>2026/08/28 16:14:43 GMT+08:00</t>
    </r>
  </si>
  <si>
    <t xml:space="preserve">
   序号
业务场景
接收方
通知类型
1
后台确认实物订单发货
用户
短信 + 积分助手通知
2
用户生成实物兑换订单
管理员
短信
3
用户提交抽奖实物兑换地址
管理员
短信 + 后台通知
4
后台确认抽奖实物兑换发货
用户
短信 + 积分助手通知
5
收到企业培训定制需求
管理员
短信
6
收到压铸护航服务预约
管理员
短信
1、后台确认订单发货后，向用户发送短信和积分助手通知
订单发货给用户的短信模板：【适创腾扬】您好！您兑换的{实物礼品名称}已发货，快递单号为{物流单号}，请注意查收，详情可登录铸问小程序查看！
消息标题
消息内容
操作提示语
触发场景
跳转页面
订单发货通知
您好！您兑换的{实物礼品名称}已发货，快递单号为{物流单号}，请注意查收！
查看订单详情
后台确认实物订单发货
兑换详情
2、用户点击兑换实物，生成订单后，给管理员发短信通知（管理员手机号）
新订单给管理员的短信模板：【适创腾扬】新积分订单通知：订单ID：{积分订单ID}，用户名称：{用户名称}，礼品名称：{礼品名称}，状态：{订单状态}，请及时查看处理！
3、抽奖实物订单完成地址填写提交兑换后，触发管理后台通知并给管理员发送短信（管理员手机号）
新抽奖实物订单给管理员的短信模板：【适创腾扬】新兑换订单通知：用户名称：{用户名称}，礼品名称：{奖品名称}，状态：{中奖记录状态}，请及时查看处理！
标签页
通知标题
消息内容
触发场景
抽奖管理
实物中奖兑换通知
中奖ID：{中奖ID}，用户名称：{用户名称}，奖品名称：{奖品名称}，状态：{中奖记录状态}，请及时查看处理！
用户抽奖的实物完成地址填写提交兑换
4、后台确认实物抽奖兑换发货后，向用户发送短信和积分助手通知
实物抽奖兑换发货给用户的短信模板：【适创腾扬】您好！您兑换的{实物礼品名称}已发货，快递单号为{物流单号}，请注意查收，详情可登录铸问小程序查看！
消息标题
消息内容
操作提示语
触发场景
跳转页面
中奖礼品发货通知
您好！您中奖兑换的{实物礼品名称}已发货，快递单号为{物流单号}，请注意查收！
查看兑换详情
后台确认抽奖实物兑换发货
抽奖的兑换详情
5、收到企业培训后，给管理员发短信通知
新企业培训给管理员的短信模板：【适创腾扬】新企业培训定制通知：用户{预约填写的姓名}提交了企业培训定制需求，请及时查看处理！
6、收到压铸护航服务预约后，给管理员发短信通知
新压铸护航预约给管理员的短信模板：【适创腾扬】新护航服务预约通知：用户{预约填写的姓名}提交了压铸护航服务预约需求，请及时查看处理！
标签页
通知标题
消息内容
触发场景
红点提醒
已读条件
投诉管理
新投诉通知
投诉ID：{投诉ID}，用户{投诉人名称}投诉{被投诉人名称}的帖子《{被投诉帖子标题}》涉及{投诉原因}，请及时查看处理！
用户提交新投诉
√
通知中心点击通知
或
直接从标签页进入，点击了用户相关的数据行的消息或者对投诉完成处理
投诉管理
投诉反馈通知
用户{用户名称}提交了新的投诉相关举证信息，请及时查看处理！
(被)投诉人补充举证材料，每日15：00用户发送消息仍为未读时触发通知，同一用户一天只发送一条通知
√
通知中心点击通知
或
直接从标签页进入，点击了用户相关的数据行的消息或者对投诉完成处理
订单管理
新积分订单通知
订单ID：{积分订单ID}，用户名称：{用户名称}，礼品名称：{礼品名称}，状态：{订单状态}，请及时查看处理！
实物或虚拟性质订单
√
通知中心点击通知
或
直接从标签页进入，对实物订单完成发货或取消订单/对虚拟订单完成兑换或取消订单
订单管理
订单取消通知
订单ID：{订单ID}，用户{用户名称}自行取消了该订单，请及时查看处理！
用户取消订单
√
通知中心点击通知
抽奖管理
新中奖通知
中奖ID：{中奖ID}，用户名称：{用户名称}，奖品名称：{奖品名称}，状态：{中奖记录状态}，请及时查看处理！
实物或虚拟（谢谢参与、积分奖除外）性质订单
用户列表
新用户注册通知
用户{用户手机号}注册了小程序，去看看吧！
用户注册
用户反馈
新用户反馈通知
用户{用户名称}对压铸百科的{章节名称}-{小节名称}提交了优化建议，请及时查看处理！
用户提交反馈
√
通知中心点击通知
或
直接从标签页进入，对用户反馈标记为已处理
企业培训
新培训定制通知
用户{预约填写的姓名}提交了企业培训定制需求，请及时查看处理！
用户提交新企业培训
√
通知中心点击通知
或
直接从标签页进入，对培训标记为已处理
线下培训
新培训报名通知
用户{用户名称}报名了{培训主题名称}，请及时查看处理！
用户提交线下培训报名
√
通知中心点击通知
课程订单
新课程订单通知
订单ID：{课程订单ID}，用户名称：{用户名称}，课程名称：{课程名称}，状态：{订单状态}，去看看吧！
用户购买课程
√
通知中心点击通知
服务预约管理
新护航服务预约通知
用户{预约填写的姓名}提交了压铸护航服务预约需求，请及时查看处理！
用户提交护航服务预约
√
通知中心点击通知
或
直接从标签页进入，对预约标记为已处理
抽奖管理
实物中奖兑换通知
中奖ID：{中奖ID}，用户名称：{用户名称}，奖品名称：{奖品名称}，状态：{中奖记录状态}，请及时查看处理！
用户抽奖的实物完成地址填写提交兑换
√
通知中心点击通知
或
直接从标签页进入，对抽奖实物兑换订单完成发货
</t>
  </si>
  <si>
    <r>
      <rPr>
        <color indexed="12"/>
        <sz val="11.0"/>
        <rFont val="Calibri"/>
      </rPr>
      <t>小程序-悬浮按钮引导动画</t>
    </r>
  </si>
  <si>
    <r>
      <rPr>
        <color indexed="12"/>
        <sz val="11.0"/>
        <rFont val="Calibri"/>
      </rPr>
      <t>2026/09/23 14:48:58 GMT+08:00</t>
    </r>
  </si>
  <si>
    <r>
      <rPr>
        <color indexed="12"/>
        <sz val="11.0"/>
        <rFont val="Calibri"/>
      </rPr>
      <t>2026/08/28 16:14:01 GMT+08:00</t>
    </r>
  </si>
  <si>
    <t xml:space="preserve">
需求描述：
半透明遮罩 + 【按钮类型及其响应页面、文案标题、引导提示语、按钮提示语】由后台配置
自动关闭时长3秒（入场0.5s+引导呼吸4.2s+出场0.5s）
任意交互可提前关闭，点击悬浮按钮跳转对应页面
低端机/旧基础库降级为静态引导图，交互行为一致
仅已登录用户首次进入有问必答首页触发引导动画，生命周期内仅展示一次；未登录（游客）不展示
首屏渲染完成后延迟约500ms播放
弱网加载超3秒或积分获取返回按钮显示时本次不展示且不消耗“仅一次”资格；切后台或同会话重复进入不重复展示
积分商城/积分榜单/签到/积分获取/积分抽奖设计图标
</t>
  </si>
  <si>
    <r>
      <rPr>
        <color indexed="12"/>
        <sz val="11.0"/>
        <rFont val="Calibri"/>
      </rPr>
      <t>管理后台-悬浮配置管理</t>
    </r>
  </si>
  <si>
    <r>
      <rPr>
        <color indexed="12"/>
        <sz val="11.0"/>
        <rFont val="Calibri"/>
      </rPr>
      <t>2026/09/23 14:49:02 GMT+08:00</t>
    </r>
  </si>
  <si>
    <r>
      <rPr>
        <color indexed="12"/>
        <sz val="11.0"/>
        <rFont val="Calibri"/>
      </rPr>
      <t>2026/08/28 16:13:37 GMT+08:00</t>
    </r>
  </si>
  <si>
    <t xml:space="preserve">
原型见附件
【入口与页面】
后台：系统管理-「悬浮配置管理」
【配置字段清单】
排期行（新建/编辑弹窗）：
- 入口类型：下拉（积分商城/签到/积分榜单/积分获取/积分抽奖）｜必填｜创建后不可改
- 生效时段：日期范围选择器｜必填｜开始≤结束且结束≥今天；与已创建的排期区间互斥
- 文案标题：输入框｜必填｜≤11 字
- 指引提示语：输入框｜必填｜≤34 字
- 按钮提示语：输入框｜必填｜≤4 字
- 动画开关：开关｜默认开｜开＝该排期生效期间播放引导动画
- 生效时自动重置动画：开关｜默认关｜开启后该排期进入生效那一刻自动执行引导重置（版本+1、触达从 0 重计）；开启时二次确认【该排期进入生效时将自动重置动画并+1 版本该排期生效后会重置动画并重新统计动画点击人数】；仅在待生效状态下可设置。（勾选「生效时自动重置动画」后，版本列右侧展示”自动重置“标签（区别于手动触发）；进入生效那一刻执行重置后，编辑弹窗内开关自动复位为关置灰不可操作、标签移除）
AI 基线行（编辑弹窗）：字段同上（无生效时段和「生效时自动重置动画」），类型固定为 AI 小铸手。（动画开关默认开；三文案预设＝「有问题？问问AI小铸手」/「压铸/材料/工艺问题，随时为你解答」/「开始体验」）
【数据规则】
 - 引导版本号：每入口类型独立编号，从 1 起始；重置＝版本+1
- 「动画点击人数」口径：点击动画引导按钮的人数，重置后新版本从 0 重计、旧版本入历史
【交互规则】
① 列表与排期行
1 、列表结构：AI 基线行（置顶、常驻）＋已结束 ＋排期行（可多条、同类型可重复）；排期行按开始时间升序
2 、AI 基线行：不参与排序、不可删除；生效时段显示「长期」标签；可编辑三文案/动画开关；重置按钮仅展示态可用（无排期生效中时可点，被生效排期替代时置灰禁用）
3 、行状态：
- 待生效：编辑可｜删除可｜动画开关可｜重置不可·置灰
- 生效中：编辑可｜删除可｜动画开关可｜重置可
- 已结束：编辑不可｜重置不可｜动画开关不可｜删除可·二次确认
4 、已结束折叠：默认收起为「已结束 N」一行（N＝条数），点击展开可查看全部已结束排期；折叠行固定于 AI 基线行后第二行、不参与分页（展开明细同样固定）
5、 排期分页：生效/待生效分页查看
② 时间线视图
1 、时间线窗口：滚动 6 个月窗口（W_start＝「今天」所在月首日、W_end＝W_start+6 个月，随「今天」自动滚动）；时间轴＋当前日期指针＋排期色块（仅今天及未来，色块悬停显「类型：起止日期」）＋AI 基线底色带
2 、窗口边界：不在时间线内的排期可通过排期列表查看，跨界色块在窗口边缘截断
③ 操作与列
1 、操作-删除：二次确认【确定要删除排期吗？删除后该排期将不再替代 AI，对应时段恢复 AI 兜底展示】后移除该排期行
2 、操作-重置动画：二次确认【确定要重置引导动画吗？重置后版本号 +1，全体用户将重新看到该入口的引导动画并重新统计动画点击人数】后，该入口类型引导版本+1、全体用户本地旧标记失效
3 、「动画点击人数」列：
- 展示：人数 &gt;0 时右侧「查看」按钮→ 触发用户列表弹窗（列表项为用户ID/昵称/触发时间）
【校验规则】
 - 单行校验：开始≤结束；结束≥今天（拦截「立即失效」配置，不允许配置已过去的排期）。
- 区间互斥：任意两条排期区间重叠（与当前日期无关）即拦截保存并提示。
- 类型范围：同类型可重复排期
【小程序端显示】
1、存在生效排期→渲染该排期入口（替代 AI）；无生效排期→渲染 AI 基线（兜底）；图标与跳转：按类型绑定映射渲染图标
2、用户点击入口图标 → 按类型绑定跳转目标页；引导动画期间点按钮同跳转目标页
3、引导动画：统一模板＋三文案（文案标题/指引提示语/按钮提示语）按后台配置替换
4、点击动画引导按钮时上报触发记录
5、播放完整条件：入口已渲染 且 动画开关开 且 已登录 且 版本内首次 且 无互斥浮层（即返回积分获取按钮） 且 首屏正常；首屏正常后延迟 500ms 触发，弱网首屏超 3s 不播
</t>
  </si>
  <si>
    <r>
      <rPr>
        <color indexed="12"/>
        <sz val="11.0"/>
        <rFont val="Calibri"/>
      </rPr>
      <t>管理后台-互动专栏查看订阅详情</t>
    </r>
  </si>
  <si>
    <r>
      <rPr>
        <color indexed="12"/>
        <sz val="11.0"/>
        <rFont val="Calibri"/>
      </rPr>
      <t>2026/09/23 14:49:07 GMT+08:00</t>
    </r>
  </si>
  <si>
    <r>
      <rPr>
        <color indexed="12"/>
        <sz val="11.0"/>
        <rFont val="Calibri"/>
      </rPr>
      <t>2026/08/28 16:13:09 GMT+08:00</t>
    </r>
  </si>
  <si>
    <t xml:space="preserve">
需求描述：
管理后台-首页内容管理-互动专栏管理新增订阅人数列
「订阅人数」列数字旁「查看」按钮（订阅人数为 0 时隐藏），点击弹出订阅详情弹窗
订阅详情弹窗（弹窗下显示专栏名称，列表项包含用户ID、用户名称、订阅时间列）
4、管理后台-投票管理，「投票人数」列数字旁「查看」按钮（投票人数为 0 时隐藏）
</t>
  </si>
  <si>
    <r>
      <rPr>
        <color indexed="12"/>
        <sz val="11.0"/>
        <rFont val="Calibri"/>
      </rPr>
      <t>小程序-个人中心订阅通知提醒</t>
    </r>
  </si>
  <si>
    <r>
      <rPr>
        <color indexed="12"/>
        <sz val="11.0"/>
        <rFont val="Calibri"/>
      </rPr>
      <t>2026/09/23 14:49:11 GMT+08:00</t>
    </r>
  </si>
  <si>
    <r>
      <rPr>
        <color indexed="12"/>
        <sz val="11.0"/>
        <rFont val="Calibri"/>
      </rPr>
      <t>2026/08/28 16:12:41 GMT+08:00</t>
    </r>
  </si>
  <si>
    <t xml:space="preserve">
需求描述：
互动期开始日 00:00 全部有效订阅用户收到一次「订阅通知」
已通知不重复，取消订阅后不再收到该专栏提醒
消息会话列表显示「订阅通知」，会话横幅显示图标/标题/摘要（单行省略）/时间/未读数。未读红点提醒与系统通知一致
点击「订阅通知」会话横幅进入订阅通知详情页，每条订阅通知完整显示（互动期 banner 图+标题+全文），点击订阅通知卡片跳转专栏详情页（消息历史直达若目标不可展示：消息提醒→ toast「内容不存在」）
标题模板：「您订阅的互动专栏已开启，快来参与」
全文模板：「您订阅的互动专栏《{专栏名称}》互动期已开始，{嘉宾名称}专家限时互动中，快来参与讨论吧！」
增加短信提醒（互动期开始日12：30）
短信模板：【适创腾扬】您好！您订阅的互动专栏《{专栏名称}》互动期已开始，{嘉宾名称}专家限时互动中，快来登录铸问小程序参与讨论吧！
</t>
  </si>
  <si>
    <r>
      <rPr>
        <color indexed="12"/>
        <sz val="11.0"/>
        <rFont val="Calibri"/>
      </rPr>
      <t>小程序-互动专栏支持订阅</t>
    </r>
  </si>
  <si>
    <r>
      <rPr>
        <color indexed="12"/>
        <sz val="11.0"/>
        <rFont val="Calibri"/>
      </rPr>
      <t>2026/09/23 14:49:14 GMT+08:00</t>
    </r>
  </si>
  <si>
    <r>
      <rPr>
        <color indexed="12"/>
        <sz val="11.0"/>
        <rFont val="Calibri"/>
      </rPr>
      <t>2026/08/28 15:21:23 GMT+08:00</t>
    </r>
  </si>
  <si>
    <t xml:space="preserve">
需求描述：
预热期用户在专栏详情页点击「订阅」按钮订阅
预热期专栏详情页显示「订阅」按钮，点击切换「已订阅」，再次点击取消
未登录点击订阅跳转登录页，登录后返回原页面
同一用户同一专栏仅一条订阅关系
互动期/回顾期/结束阶段订阅按钮隐藏
专栏嘉宾本人订阅按钮正常显示、可订阅且正常接收提醒
互动期开始日 00:00 全部有效订阅用户收到一次「订阅通知」
已通知不重复，取消订阅后不再收到该专栏提醒
</t>
  </si>
  <si>
    <r>
      <rPr>
        <color indexed="12"/>
        <sz val="11.0"/>
        <rFont val="Calibri"/>
      </rPr>
      <t>小程序-通过分享链接注册或登录后自动进入分享页面</t>
    </r>
  </si>
  <si>
    <r>
      <rPr>
        <color indexed="12"/>
        <sz val="11.0"/>
        <rFont val="Calibri"/>
      </rPr>
      <t>2026/09/23 14:49:18 GMT+08:00</t>
    </r>
  </si>
  <si>
    <r>
      <rPr>
        <color indexed="12"/>
        <sz val="11.0"/>
        <rFont val="Calibri"/>
      </rPr>
      <t>2026/08/24</t>
    </r>
  </si>
  <si>
    <r>
      <rPr>
        <color indexed="12"/>
        <sz val="11.0"/>
        <rFont val="Calibri"/>
      </rPr>
      <t>2026/09/08</t>
    </r>
  </si>
  <si>
    <r>
      <rPr>
        <color indexed="12"/>
        <sz val="11.0"/>
        <rFont val="Calibri"/>
      </rPr>
      <t>2026/08/19 16:14:50 GMT+08:00</t>
    </r>
  </si>
  <si>
    <t xml:space="preserve">当前问题：通过分享链接进入小程序后，提示注册/登录，完成后默认回到小程序首页
期望效果：通过分享链接进入小程序后，提示注册/登录，完成后默认回到分享页面。（如分享的是有问必答首页，该页面不需要登录也能查看，继续点击帖子详情页评论或个人中心等其他需要登录的页面，在完成注册登录后回到跳转前的页面）
未登录状态下分享页面，无需提示登录和跳转登录页面，不计入积分
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</si>
</sst>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color indexed="12"/>
    </font>
    <font>
      <name val="Calibri"/>
      <sz val="11.0"/>
      <color indexed="12"/>
      <u val="single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NumberFormat="true" applyFill="true" applyBorder="true" applyAlignment="true" applyFont="true">
      <alignment horizontal="center" wrapText="true"/>
    </xf>
    <xf numFmtId="49" fontId="2" fillId="5" borderId="4" xfId="0" applyNumberFormat="true" applyFill="true" applyBorder="true" applyAlignment="true" applyFont="true">
      <alignment horizontal="left" vertical="center" wrapText="true"/>
    </xf>
    <xf numFmtId="2" fontId="2" fillId="5" borderId="4" xfId="0" applyNumberFormat="true" applyFill="true" applyBorder="true" applyAlignment="true" applyFont="true">
      <alignment horizontal="left" vertical="center" wrapText="true"/>
    </xf>
    <xf numFmtId="1" fontId="2" fillId="5" borderId="4" xfId="0" applyNumberFormat="true" applyFill="true" applyBorder="true" applyAlignment="true" applyFont="true">
      <alignment horizontal="left" vertical="center" wrapText="true"/>
    </xf>
    <xf numFmtId="0" fontId="6" fillId="5" borderId="4" xfId="0" applyFill="true" applyBorder="true" applyAlignment="true" applyFont="true">
      <alignment horizontal="left" vertical="center"/>
    </xf>
    <xf numFmtId="0" fontId="3" fillId="5" borderId="4" xfId="0" applyFont="true" applyFill="true" applyBorder="true" applyAlignment="true">
      <alignment horizontal="left" vertical="center"/>
    </xf>
    <xf numFmtId="9" fontId="2" fillId="5" borderId="4" xfId="0" applyNumberFormat="true" applyFill="true" applyBorder="true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 tabSelected="true"/>
  </sheetViews>
  <sheetFormatPr defaultRowHeight="15.0" baseColWidth="16"/>
  <sheetData>
    <row r="1" ht="30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ht="12.75" customHeight="true">
      <c r="A2" s="5" t="str">
        <f>HYPERLINK("https://devcloud.cn-east-3.huaweicloud.com/projectman/scrum/78b2e310f37c4e28bfb3ef86179ac134/task/detail/713593562","713593562")</f>
        <v>713593562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n">
        <v>0.0</v>
      </c>
      <c r="K2" s="7" t="n">
        <v>0.0</v>
      </c>
      <c r="L2" s="2" t="s">
        <v>23</v>
      </c>
      <c r="M2" s="2" t="s">
        <v>24</v>
      </c>
      <c r="N2" s="2" t="s">
        <v>16</v>
      </c>
    </row>
    <row r="3" ht="12.75" customHeight="true">
      <c r="A3" s="5" t="str">
        <f>HYPERLINK("https://devcloud.cn-east-3.huaweicloud.com/projectman/scrum/78b2e310f37c4e28bfb3ef86179ac134/task/detail/713586610","713586610")</f>
        <v>713586610</v>
      </c>
      <c r="B3" s="2" t="s">
        <v>25</v>
      </c>
      <c r="C3" s="2" t="s">
        <v>26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27</v>
      </c>
      <c r="J3" s="3" t="n">
        <v>12.0</v>
      </c>
      <c r="K3" s="7" t="n">
        <v>0.0</v>
      </c>
      <c r="L3" s="2" t="s">
        <v>23</v>
      </c>
      <c r="M3" s="2" t="s">
        <v>28</v>
      </c>
      <c r="N3" s="2" t="s">
        <v>26</v>
      </c>
    </row>
    <row r="4" ht="12.75" customHeight="true">
      <c r="A4" s="5" t="str">
        <f>HYPERLINK("https://devcloud.cn-east-3.huaweicloud.com/projectman/scrum/78b2e310f37c4e28bfb3ef86179ac134/task/detail/713582841","713582841")</f>
        <v>713582841</v>
      </c>
      <c r="B4" s="2" t="s">
        <v>29</v>
      </c>
      <c r="C4" s="2" t="s">
        <v>30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31</v>
      </c>
      <c r="J4" s="3" t="n">
        <v>10.0</v>
      </c>
      <c r="K4" s="7" t="n">
        <v>0.0</v>
      </c>
      <c r="L4" s="2" t="s">
        <v>23</v>
      </c>
      <c r="M4" s="2" t="s">
        <v>32</v>
      </c>
      <c r="N4" s="2" t="s">
        <v>30</v>
      </c>
    </row>
    <row r="5" ht="12.75" customHeight="true">
      <c r="A5" s="5" t="str">
        <f>HYPERLINK("https://devcloud.cn-east-3.huaweicloud.com/projectman/scrum/78b2e310f37c4e28bfb3ef86179ac134/task/detail/713582491","713582491")</f>
        <v>713582491</v>
      </c>
      <c r="B5" s="2" t="s">
        <v>33</v>
      </c>
      <c r="C5" s="2" t="s">
        <v>34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35</v>
      </c>
      <c r="J5" s="3" t="n">
        <v>10.0</v>
      </c>
      <c r="K5" s="7" t="n">
        <v>0.0</v>
      </c>
      <c r="L5" s="2" t="s">
        <v>23</v>
      </c>
      <c r="M5" s="2" t="s">
        <v>36</v>
      </c>
      <c r="N5" s="2" t="s">
        <v>34</v>
      </c>
    </row>
    <row r="6" ht="12.75" customHeight="true">
      <c r="A6" s="5" t="str">
        <f>HYPERLINK("https://devcloud.cn-east-3.huaweicloud.com/projectman/scrum/78b2e310f37c4e28bfb3ef86179ac134/task/detail/713582098","713582098")</f>
        <v>713582098</v>
      </c>
      <c r="B6" s="2" t="s">
        <v>37</v>
      </c>
      <c r="C6" s="2" t="s">
        <v>38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39</v>
      </c>
      <c r="J6" s="3" t="n">
        <v>9.0</v>
      </c>
      <c r="K6" s="7" t="n">
        <v>0.0</v>
      </c>
      <c r="L6" s="2" t="s">
        <v>23</v>
      </c>
      <c r="M6" s="2" t="s">
        <v>40</v>
      </c>
      <c r="N6" s="2" t="s">
        <v>38</v>
      </c>
    </row>
    <row r="7" ht="12.75" customHeight="true">
      <c r="A7" s="5" t="str">
        <f>HYPERLINK("https://devcloud.cn-east-3.huaweicloud.com/projectman/scrum/78b2e310f37c4e28bfb3ef86179ac134/task/detail/713582097","713582097")</f>
        <v>713582097</v>
      </c>
      <c r="B7" s="2" t="s">
        <v>41</v>
      </c>
      <c r="C7" s="2" t="s">
        <v>42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43</v>
      </c>
      <c r="J7" s="3" t="n">
        <v>5.0</v>
      </c>
      <c r="K7" s="7" t="n">
        <v>0.0</v>
      </c>
      <c r="L7" s="2" t="s">
        <v>23</v>
      </c>
      <c r="M7" s="2" t="s">
        <v>44</v>
      </c>
      <c r="N7" s="2" t="s">
        <v>42</v>
      </c>
    </row>
    <row r="8" ht="12.75" customHeight="true">
      <c r="A8" s="5" t="str">
        <f>HYPERLINK("https://devcloud.cn-east-3.huaweicloud.com/projectman/scrum/78b2e310f37c4e28bfb3ef86179ac134/task/detail/713581830","713581830")</f>
        <v>713581830</v>
      </c>
      <c r="B8" s="2" t="s">
        <v>45</v>
      </c>
      <c r="C8" s="2" t="s">
        <v>46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47</v>
      </c>
      <c r="J8" s="3" t="n">
        <v>8.0</v>
      </c>
      <c r="K8" s="7" t="n">
        <v>0.0</v>
      </c>
      <c r="L8" s="2" t="s">
        <v>23</v>
      </c>
      <c r="M8" s="2" t="s">
        <v>48</v>
      </c>
      <c r="N8" s="2" t="s">
        <v>46</v>
      </c>
    </row>
    <row r="9" ht="12.75" customHeight="true">
      <c r="A9" s="5" t="str">
        <f>HYPERLINK("https://devcloud.cn-east-3.huaweicloud.com/projectman/scrum/78b2e310f37c4e28bfb3ef86179ac134/task/detail/713581828","713581828")</f>
        <v>713581828</v>
      </c>
      <c r="B9" s="2" t="s">
        <v>49</v>
      </c>
      <c r="C9" s="2" t="s">
        <v>50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51</v>
      </c>
      <c r="J9" s="3" t="n">
        <v>10.0</v>
      </c>
      <c r="K9" s="7" t="n">
        <v>0.0</v>
      </c>
      <c r="L9" s="2" t="s">
        <v>23</v>
      </c>
      <c r="M9" s="2" t="s">
        <v>52</v>
      </c>
      <c r="N9" s="2" t="s">
        <v>50</v>
      </c>
    </row>
    <row r="10" ht="12.75" customHeight="true">
      <c r="A10" s="5" t="str">
        <f>HYPERLINK("https://devcloud.cn-east-3.huaweicloud.com/projectman/scrum/78b2e310f37c4e28bfb3ef86179ac134/task/detail/713581826","713581826")</f>
        <v>713581826</v>
      </c>
      <c r="B10" s="2" t="s">
        <v>53</v>
      </c>
      <c r="C10" s="2" t="s">
        <v>54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55</v>
      </c>
      <c r="J10" s="3" t="n">
        <v>16.0</v>
      </c>
      <c r="K10" s="7" t="n">
        <v>0.0</v>
      </c>
      <c r="L10" s="2" t="s">
        <v>23</v>
      </c>
      <c r="M10" s="2" t="s">
        <v>56</v>
      </c>
      <c r="N10" s="2" t="s">
        <v>54</v>
      </c>
    </row>
    <row r="11" ht="12.75" customHeight="true">
      <c r="A11" s="5" t="str">
        <f>HYPERLINK("https://devcloud.cn-east-3.huaweicloud.com/projectman/scrum/78b2e310f37c4e28bfb3ef86179ac134/task/detail/713581825","713581825")</f>
        <v>713581825</v>
      </c>
      <c r="B11" s="2" t="s">
        <v>57</v>
      </c>
      <c r="C11" s="2" t="s">
        <v>58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59</v>
      </c>
      <c r="J11" s="3" t="n">
        <v>8.0</v>
      </c>
      <c r="K11" s="7" t="n">
        <v>0.0</v>
      </c>
      <c r="L11" s="2" t="s">
        <v>23</v>
      </c>
      <c r="M11" s="2" t="s">
        <v>60</v>
      </c>
      <c r="N11" s="2" t="s">
        <v>58</v>
      </c>
    </row>
    <row r="12" ht="12.75" customHeight="true">
      <c r="A12" s="5" t="str">
        <f>HYPERLINK("https://devcloud.cn-east-3.huaweicloud.com/projectman/scrum/78b2e310f37c4e28bfb3ef86179ac134/task/detail/713581824","713581824")</f>
        <v>713581824</v>
      </c>
      <c r="B12" s="2" t="s">
        <v>61</v>
      </c>
      <c r="C12" s="2" t="s">
        <v>62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63</v>
      </c>
      <c r="J12" s="3" t="n">
        <v>6.0</v>
      </c>
      <c r="K12" s="7" t="n">
        <v>0.0</v>
      </c>
      <c r="L12" s="2" t="s">
        <v>23</v>
      </c>
      <c r="M12" s="2" t="s">
        <v>64</v>
      </c>
      <c r="N12" s="2" t="s">
        <v>62</v>
      </c>
    </row>
    <row r="13" ht="12.75" customHeight="true">
      <c r="A13" s="5" t="str">
        <f>HYPERLINK("https://devcloud.cn-east-3.huaweicloud.com/projectman/scrum/78b2e310f37c4e28bfb3ef86179ac134/task/detail/713581700","713581700")</f>
        <v>713581700</v>
      </c>
      <c r="B13" s="2" t="s">
        <v>65</v>
      </c>
      <c r="C13" s="2" t="s">
        <v>66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67</v>
      </c>
      <c r="J13" s="3" t="n">
        <v>4.0</v>
      </c>
      <c r="K13" s="7" t="n">
        <v>0.0</v>
      </c>
      <c r="L13" s="2" t="s">
        <v>23</v>
      </c>
      <c r="M13" s="2" t="s">
        <v>68</v>
      </c>
      <c r="N13" s="2" t="s">
        <v>66</v>
      </c>
    </row>
    <row r="14" ht="12.75" customHeight="true">
      <c r="A14" s="5" t="str">
        <f>HYPERLINK("https://devcloud.cn-east-3.huaweicloud.com/projectman/scrum/78b2e310f37c4e28bfb3ef86179ac134/task/detail/713567947","713567947")</f>
        <v>713567947</v>
      </c>
      <c r="B14" s="2" t="s">
        <v>69</v>
      </c>
      <c r="C14" s="2" t="s">
        <v>70</v>
      </c>
      <c r="D14" s="2" t="s">
        <v>17</v>
      </c>
      <c r="E14" s="2" t="s">
        <v>18</v>
      </c>
      <c r="F14" s="2" t="s">
        <v>71</v>
      </c>
      <c r="G14" s="2" t="s">
        <v>72</v>
      </c>
      <c r="H14" s="2" t="s">
        <v>21</v>
      </c>
      <c r="I14" s="2" t="s">
        <v>73</v>
      </c>
      <c r="J14" s="3" t="n">
        <v>8.0</v>
      </c>
      <c r="K14" s="7" t="n">
        <v>0.0</v>
      </c>
      <c r="L14" s="2" t="s">
        <v>23</v>
      </c>
      <c r="M14" s="2" t="s">
        <v>74</v>
      </c>
      <c r="N14" s="2" t="s">
        <v>70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2026-10-09T08:53:00Z</dcterms:created>
  <dc:creator>Apache POI</dc:creator>
</cp:coreProperties>
</file>