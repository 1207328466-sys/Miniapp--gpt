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项列表" r:id="rId3" sheetId="1"/>
  </sheets>
</workbook>
</file>

<file path=xl/sharedStrings.xml><?xml version="1.0" encoding="utf-8"?>
<sst xmlns="http://schemas.openxmlformats.org/spreadsheetml/2006/main" count="258" uniqueCount="60">
  <si>
    <t/>
  </si>
  <si>
    <t>编号</t>
  </si>
  <si>
    <t>标题</t>
  </si>
  <si>
    <t>结束时间</t>
  </si>
  <si>
    <t>状态</t>
  </si>
  <si>
    <t>处理人</t>
  </si>
  <si>
    <t>预计开始日期</t>
  </si>
  <si>
    <t>预计结束日期</t>
  </si>
  <si>
    <t>优先级</t>
  </si>
  <si>
    <t>创建时间</t>
  </si>
  <si>
    <t>实际工时</t>
  </si>
  <si>
    <t>完成度</t>
  </si>
  <si>
    <t>类型</t>
  </si>
  <si>
    <r>
      <rPr>
        <color indexed="12"/>
        <sz val="11.0"/>
        <rFont val="Calibri"/>
      </rPr>
      <t>小程序-提交订单或预约后客服联系方式优化</t>
    </r>
  </si>
  <si>
    <r>
      <rPr>
        <color indexed="12"/>
        <sz val="11.0"/>
        <rFont val="Calibri"/>
      </rPr>
      <t>2026/09/23 14:48:28 GMT+08:00</t>
    </r>
  </si>
  <si>
    <r>
      <rPr>
        <color indexed="12"/>
        <sz val="11.0"/>
        <rFont val="Calibri"/>
      </rPr>
      <t>已关闭</t>
    </r>
  </si>
  <si>
    <r>
      <rPr>
        <color indexed="12"/>
        <sz val="11.0"/>
        <rFont val="Calibri"/>
      </rPr>
      <t>chp.liu</t>
    </r>
  </si>
  <si>
    <r>
      <rPr>
        <color indexed="12"/>
        <sz val="11.0"/>
        <rFont val="Calibri"/>
      </rPr>
      <t>2026/09/07</t>
    </r>
  </si>
  <si>
    <r>
      <rPr>
        <color indexed="12"/>
        <sz val="11.0"/>
        <rFont val="Calibri"/>
      </rPr>
      <t>2026/09/22</t>
    </r>
  </si>
  <si>
    <r>
      <rPr>
        <color indexed="12"/>
        <sz val="11.0"/>
        <rFont val="Calibri"/>
      </rPr>
      <t>中</t>
    </r>
  </si>
  <si>
    <r>
      <rPr>
        <color indexed="12"/>
        <sz val="11.0"/>
        <rFont val="Calibri"/>
      </rPr>
      <t>2026/09/07 16:31:10 GMT+08:00</t>
    </r>
  </si>
  <si>
    <r>
      <rPr>
        <color indexed="12"/>
        <sz val="11.0"/>
        <rFont val="Calibri"/>
      </rPr>
      <t>Story</t>
    </r>
  </si>
  <si>
    <r>
      <rPr>
        <color indexed="12"/>
        <sz val="11.0"/>
        <rFont val="Calibri"/>
      </rPr>
      <t>管理后台-通知中心优化</t>
    </r>
  </si>
  <si>
    <r>
      <rPr>
        <color indexed="12"/>
        <sz val="11.0"/>
        <rFont val="Calibri"/>
      </rPr>
      <t>2026/09/23 14:48:33 GMT+08:00</t>
    </r>
  </si>
  <si>
    <r>
      <rPr>
        <color indexed="12"/>
        <sz val="11.0"/>
        <rFont val="Calibri"/>
      </rPr>
      <t>2026/09/01 15:35:10 GMT+08:00</t>
    </r>
  </si>
  <si>
    <r>
      <rPr>
        <color indexed="12"/>
        <sz val="11.0"/>
        <rFont val="Calibri"/>
      </rPr>
      <t>小程序-有问必答搜索空状态优化</t>
    </r>
  </si>
  <si>
    <r>
      <rPr>
        <color indexed="12"/>
        <sz val="11.0"/>
        <rFont val="Calibri"/>
      </rPr>
      <t>2026/09/23 14:48:37 GMT+08:00</t>
    </r>
  </si>
  <si>
    <r>
      <rPr>
        <color indexed="12"/>
        <sz val="11.0"/>
        <rFont val="Calibri"/>
      </rPr>
      <t>2026/08/30 15:00:45 GMT+08:00</t>
    </r>
  </si>
  <si>
    <r>
      <rPr>
        <color indexed="12"/>
        <sz val="11.0"/>
        <rFont val="Calibri"/>
      </rPr>
      <t>小程序-AI回答增加点赞与不喜欢反馈</t>
    </r>
  </si>
  <si>
    <r>
      <rPr>
        <color indexed="12"/>
        <sz val="11.0"/>
        <rFont val="Calibri"/>
      </rPr>
      <t>2026/09/23 14:48:41 GMT+08:00</t>
    </r>
  </si>
  <si>
    <r>
      <rPr>
        <color indexed="12"/>
        <sz val="11.0"/>
        <rFont val="Calibri"/>
      </rPr>
      <t>2026/08/29 20:30:31 GMT+08:00</t>
    </r>
  </si>
  <si>
    <r>
      <rPr>
        <color indexed="12"/>
        <sz val="11.0"/>
        <rFont val="Calibri"/>
      </rPr>
      <t>小程序-悬浮按钮和引导动画埋点分析</t>
    </r>
  </si>
  <si>
    <r>
      <rPr>
        <color indexed="12"/>
        <sz val="11.0"/>
        <rFont val="Calibri"/>
      </rPr>
      <t>2026/09/23 14:48:46 GMT+08:00</t>
    </r>
  </si>
  <si>
    <r>
      <rPr>
        <color indexed="12"/>
        <sz val="11.0"/>
        <rFont val="Calibri"/>
      </rPr>
      <t>2026/08/28 19:00:32 GMT+08:00</t>
    </r>
  </si>
  <si>
    <r>
      <rPr>
        <color indexed="12"/>
        <sz val="11.0"/>
        <rFont val="Calibri"/>
      </rPr>
      <t>小程序-积分商城增加回到顶部按钮</t>
    </r>
  </si>
  <si>
    <r>
      <rPr>
        <color indexed="12"/>
        <sz val="11.0"/>
        <rFont val="Calibri"/>
      </rPr>
      <t>2026/09/23 14:48:50 GMT+08:00</t>
    </r>
  </si>
  <si>
    <r>
      <rPr>
        <color indexed="12"/>
        <sz val="11.0"/>
        <rFont val="Calibri"/>
      </rPr>
      <t>2026/08/28 19:00:03 GMT+08:00</t>
    </r>
  </si>
  <si>
    <r>
      <rPr>
        <color indexed="12"/>
        <sz val="11.0"/>
        <rFont val="Calibri"/>
      </rPr>
      <t>小程序-订单发货和新订单短信提醒</t>
    </r>
  </si>
  <si>
    <r>
      <rPr>
        <color indexed="12"/>
        <sz val="11.0"/>
        <rFont val="Calibri"/>
      </rPr>
      <t>2026/09/23 14:48:54 GMT+08:00</t>
    </r>
  </si>
  <si>
    <r>
      <rPr>
        <color indexed="12"/>
        <sz val="11.0"/>
        <rFont val="Calibri"/>
      </rPr>
      <t>2026/08/28 16:14:43 GMT+08:00</t>
    </r>
  </si>
  <si>
    <r>
      <rPr>
        <color indexed="12"/>
        <sz val="11.0"/>
        <rFont val="Calibri"/>
      </rPr>
      <t>小程序-悬浮按钮引导动画</t>
    </r>
  </si>
  <si>
    <r>
      <rPr>
        <color indexed="12"/>
        <sz val="11.0"/>
        <rFont val="Calibri"/>
      </rPr>
      <t>2026/09/23 14:48:58 GMT+08:00</t>
    </r>
  </si>
  <si>
    <r>
      <rPr>
        <color indexed="12"/>
        <sz val="11.0"/>
        <rFont val="Calibri"/>
      </rPr>
      <t>2026/08/28 16:14:01 GMT+08:00</t>
    </r>
  </si>
  <si>
    <r>
      <rPr>
        <color indexed="12"/>
        <sz val="11.0"/>
        <rFont val="Calibri"/>
      </rPr>
      <t>管理后台-悬浮配置管理</t>
    </r>
  </si>
  <si>
    <r>
      <rPr>
        <color indexed="12"/>
        <sz val="11.0"/>
        <rFont val="Calibri"/>
      </rPr>
      <t>2026/09/23 14:49:02 GMT+08:00</t>
    </r>
  </si>
  <si>
    <r>
      <rPr>
        <color indexed="12"/>
        <sz val="11.0"/>
        <rFont val="Calibri"/>
      </rPr>
      <t>2026/08/28 16:13:37 GMT+08:00</t>
    </r>
  </si>
  <si>
    <r>
      <rPr>
        <color indexed="12"/>
        <sz val="11.0"/>
        <rFont val="Calibri"/>
      </rPr>
      <t>管理后台-互动专栏查看订阅详情</t>
    </r>
  </si>
  <si>
    <r>
      <rPr>
        <color indexed="12"/>
        <sz val="11.0"/>
        <rFont val="Calibri"/>
      </rPr>
      <t>2026/09/23 14:49:07 GMT+08:00</t>
    </r>
  </si>
  <si>
    <r>
      <rPr>
        <color indexed="12"/>
        <sz val="11.0"/>
        <rFont val="Calibri"/>
      </rPr>
      <t>2026/08/28 16:13:09 GMT+08:00</t>
    </r>
  </si>
  <si>
    <r>
      <rPr>
        <color indexed="12"/>
        <sz val="11.0"/>
        <rFont val="Calibri"/>
      </rPr>
      <t>小程序-个人中心订阅通知提醒</t>
    </r>
  </si>
  <si>
    <r>
      <rPr>
        <color indexed="12"/>
        <sz val="11.0"/>
        <rFont val="Calibri"/>
      </rPr>
      <t>2026/09/23 14:49:11 GMT+08:00</t>
    </r>
  </si>
  <si>
    <r>
      <rPr>
        <color indexed="12"/>
        <sz val="11.0"/>
        <rFont val="Calibri"/>
      </rPr>
      <t>2026/08/28 16:12:41 GMT+08:00</t>
    </r>
  </si>
  <si>
    <r>
      <rPr>
        <color indexed="12"/>
        <sz val="11.0"/>
        <rFont val="Calibri"/>
      </rPr>
      <t>小程序-互动专栏支持订阅</t>
    </r>
  </si>
  <si>
    <r>
      <rPr>
        <color indexed="12"/>
        <sz val="11.0"/>
        <rFont val="Calibri"/>
      </rPr>
      <t>2026/09/23 14:49:14 GMT+08:00</t>
    </r>
  </si>
  <si>
    <r>
      <rPr>
        <color indexed="12"/>
        <sz val="11.0"/>
        <rFont val="Calibri"/>
      </rPr>
      <t>2026/08/28 15:21:23 GMT+08:00</t>
    </r>
  </si>
  <si>
    <r>
      <rPr>
        <color indexed="12"/>
        <sz val="11.0"/>
        <rFont val="Calibri"/>
      </rPr>
      <t>小程序-通过分享链接注册或登录后自动进入分享页面</t>
    </r>
  </si>
  <si>
    <r>
      <rPr>
        <color indexed="12"/>
        <sz val="11.0"/>
        <rFont val="Calibri"/>
      </rPr>
      <t>2026/09/23 14:49:18 GMT+08:00</t>
    </r>
  </si>
  <si>
    <r>
      <rPr>
        <color indexed="12"/>
        <sz val="11.0"/>
        <rFont val="Calibri"/>
      </rPr>
      <t>2026/08/24</t>
    </r>
  </si>
  <si>
    <r>
      <rPr>
        <color indexed="12"/>
        <sz val="11.0"/>
        <rFont val="Calibri"/>
      </rPr>
      <t>2026/09/08</t>
    </r>
  </si>
  <si>
    <r>
      <rPr>
        <color indexed="12"/>
        <sz val="11.0"/>
        <rFont val="Calibri"/>
      </rPr>
      <t>2026/08/19 16:14:50 GMT+08:00</t>
    </r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</si>
</sst>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color indexed="12"/>
    </font>
    <font>
      <name val="Calibri"/>
      <sz val="11.0"/>
      <color indexed="12"/>
      <u val="single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NumberFormat="true" applyFill="true" applyBorder="true" applyAlignment="true" applyFont="true">
      <alignment horizontal="center" wrapText="true"/>
    </xf>
    <xf numFmtId="49" fontId="2" fillId="5" borderId="4" xfId="0" applyNumberFormat="true" applyFill="true" applyBorder="true" applyAlignment="true" applyFont="true">
      <alignment horizontal="left" vertical="center" wrapText="true"/>
    </xf>
    <xf numFmtId="2" fontId="2" fillId="5" borderId="4" xfId="0" applyNumberFormat="true" applyFill="true" applyBorder="true" applyAlignment="true" applyFont="true">
      <alignment horizontal="left" vertical="center" wrapText="true"/>
    </xf>
    <xf numFmtId="1" fontId="2" fillId="5" borderId="4" xfId="0" applyNumberFormat="true" applyFill="true" applyBorder="true" applyAlignment="true" applyFont="true">
      <alignment horizontal="left" vertical="center" wrapText="true"/>
    </xf>
    <xf numFmtId="0" fontId="6" fillId="5" borderId="4" xfId="0" applyFill="true" applyBorder="true" applyAlignment="true" applyFont="true">
      <alignment horizontal="left" vertical="center"/>
    </xf>
    <xf numFmtId="0" fontId="3" fillId="5" borderId="4" xfId="0" applyFont="true" applyFill="true" applyBorder="true" applyAlignment="true">
      <alignment horizontal="left" vertical="center"/>
    </xf>
    <xf numFmtId="9" fontId="2" fillId="5" borderId="4" xfId="0" applyNumberFormat="true" applyFill="true" applyBorder="true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 tabSelected="true"/>
  </sheetViews>
  <sheetFormatPr defaultRowHeight="15.0" baseColWidth="16"/>
  <sheetData>
    <row r="1" ht="30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12.75" customHeight="true">
      <c r="A2" s="5" t="str">
        <f>HYPERLINK("https://devcloud.cn-east-3.huaweicloud.com/projectman/scrum/78b2e310f37c4e28bfb3ef86179ac134/task/detail/713593562","713593562")</f>
        <v>713593562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n">
        <v>0.0</v>
      </c>
      <c r="K2" s="7" t="n">
        <v>0.0</v>
      </c>
      <c r="L2" s="2" t="s">
        <v>21</v>
      </c>
    </row>
    <row r="3" ht="12.75" customHeight="true">
      <c r="A3" s="5" t="str">
        <f>HYPERLINK("https://devcloud.cn-east-3.huaweicloud.com/projectman/scrum/78b2e310f37c4e28bfb3ef86179ac134/task/detail/713586610","713586610")</f>
        <v>713586610</v>
      </c>
      <c r="B3" s="2" t="s">
        <v>22</v>
      </c>
      <c r="C3" s="2" t="s">
        <v>23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24</v>
      </c>
      <c r="J3" s="3" t="n">
        <v>12.0</v>
      </c>
      <c r="K3" s="7" t="n">
        <v>0.0</v>
      </c>
      <c r="L3" s="2" t="s">
        <v>21</v>
      </c>
    </row>
    <row r="4" ht="12.75" customHeight="true">
      <c r="A4" s="5" t="str">
        <f>HYPERLINK("https://devcloud.cn-east-3.huaweicloud.com/projectman/scrum/78b2e310f37c4e28bfb3ef86179ac134/task/detail/713582841","713582841")</f>
        <v>713582841</v>
      </c>
      <c r="B4" s="2" t="s">
        <v>25</v>
      </c>
      <c r="C4" s="2" t="s">
        <v>26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27</v>
      </c>
      <c r="J4" s="3" t="n">
        <v>10.0</v>
      </c>
      <c r="K4" s="7" t="n">
        <v>0.0</v>
      </c>
      <c r="L4" s="2" t="s">
        <v>21</v>
      </c>
    </row>
    <row r="5" ht="12.75" customHeight="true">
      <c r="A5" s="5" t="str">
        <f>HYPERLINK("https://devcloud.cn-east-3.huaweicloud.com/projectman/scrum/78b2e310f37c4e28bfb3ef86179ac134/task/detail/713582491","713582491")</f>
        <v>713582491</v>
      </c>
      <c r="B5" s="2" t="s">
        <v>28</v>
      </c>
      <c r="C5" s="2" t="s">
        <v>29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30</v>
      </c>
      <c r="J5" s="3" t="n">
        <v>10.0</v>
      </c>
      <c r="K5" s="7" t="n">
        <v>0.0</v>
      </c>
      <c r="L5" s="2" t="s">
        <v>21</v>
      </c>
    </row>
    <row r="6" ht="12.75" customHeight="true">
      <c r="A6" s="5" t="str">
        <f>HYPERLINK("https://devcloud.cn-east-3.huaweicloud.com/projectman/scrum/78b2e310f37c4e28bfb3ef86179ac134/task/detail/713582098","713582098")</f>
        <v>713582098</v>
      </c>
      <c r="B6" s="2" t="s">
        <v>31</v>
      </c>
      <c r="C6" s="2" t="s">
        <v>32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33</v>
      </c>
      <c r="J6" s="3" t="n">
        <v>9.0</v>
      </c>
      <c r="K6" s="7" t="n">
        <v>0.0</v>
      </c>
      <c r="L6" s="2" t="s">
        <v>21</v>
      </c>
    </row>
    <row r="7" ht="12.75" customHeight="true">
      <c r="A7" s="5" t="str">
        <f>HYPERLINK("https://devcloud.cn-east-3.huaweicloud.com/projectman/scrum/78b2e310f37c4e28bfb3ef86179ac134/task/detail/713582097","713582097")</f>
        <v>713582097</v>
      </c>
      <c r="B7" s="2" t="s">
        <v>34</v>
      </c>
      <c r="C7" s="2" t="s">
        <v>35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36</v>
      </c>
      <c r="J7" s="3" t="n">
        <v>5.0</v>
      </c>
      <c r="K7" s="7" t="n">
        <v>0.0</v>
      </c>
      <c r="L7" s="2" t="s">
        <v>21</v>
      </c>
    </row>
    <row r="8" ht="12.75" customHeight="true">
      <c r="A8" s="5" t="str">
        <f>HYPERLINK("https://devcloud.cn-east-3.huaweicloud.com/projectman/scrum/78b2e310f37c4e28bfb3ef86179ac134/task/detail/713581830","713581830")</f>
        <v>713581830</v>
      </c>
      <c r="B8" s="2" t="s">
        <v>37</v>
      </c>
      <c r="C8" s="2" t="s">
        <v>38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39</v>
      </c>
      <c r="J8" s="3" t="n">
        <v>8.0</v>
      </c>
      <c r="K8" s="7" t="n">
        <v>0.0</v>
      </c>
      <c r="L8" s="2" t="s">
        <v>21</v>
      </c>
    </row>
    <row r="9" ht="12.75" customHeight="true">
      <c r="A9" s="5" t="str">
        <f>HYPERLINK("https://devcloud.cn-east-3.huaweicloud.com/projectman/scrum/78b2e310f37c4e28bfb3ef86179ac134/task/detail/713581828","713581828")</f>
        <v>713581828</v>
      </c>
      <c r="B9" s="2" t="s">
        <v>40</v>
      </c>
      <c r="C9" s="2" t="s">
        <v>41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42</v>
      </c>
      <c r="J9" s="3" t="n">
        <v>10.0</v>
      </c>
      <c r="K9" s="7" t="n">
        <v>0.0</v>
      </c>
      <c r="L9" s="2" t="s">
        <v>21</v>
      </c>
    </row>
    <row r="10" ht="12.75" customHeight="true">
      <c r="A10" s="5" t="str">
        <f>HYPERLINK("https://devcloud.cn-east-3.huaweicloud.com/projectman/scrum/78b2e310f37c4e28bfb3ef86179ac134/task/detail/713581826","713581826")</f>
        <v>713581826</v>
      </c>
      <c r="B10" s="2" t="s">
        <v>43</v>
      </c>
      <c r="C10" s="2" t="s">
        <v>44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45</v>
      </c>
      <c r="J10" s="3" t="n">
        <v>16.0</v>
      </c>
      <c r="K10" s="7" t="n">
        <v>0.0</v>
      </c>
      <c r="L10" s="2" t="s">
        <v>21</v>
      </c>
    </row>
    <row r="11" ht="12.75" customHeight="true">
      <c r="A11" s="5" t="str">
        <f>HYPERLINK("https://devcloud.cn-east-3.huaweicloud.com/projectman/scrum/78b2e310f37c4e28bfb3ef86179ac134/task/detail/713581825","713581825")</f>
        <v>713581825</v>
      </c>
      <c r="B11" s="2" t="s">
        <v>46</v>
      </c>
      <c r="C11" s="2" t="s">
        <v>47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48</v>
      </c>
      <c r="J11" s="3" t="n">
        <v>8.0</v>
      </c>
      <c r="K11" s="7" t="n">
        <v>0.0</v>
      </c>
      <c r="L11" s="2" t="s">
        <v>21</v>
      </c>
    </row>
    <row r="12" ht="12.75" customHeight="true">
      <c r="A12" s="5" t="str">
        <f>HYPERLINK("https://devcloud.cn-east-3.huaweicloud.com/projectman/scrum/78b2e310f37c4e28bfb3ef86179ac134/task/detail/713581824","713581824")</f>
        <v>713581824</v>
      </c>
      <c r="B12" s="2" t="s">
        <v>49</v>
      </c>
      <c r="C12" s="2" t="s">
        <v>50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51</v>
      </c>
      <c r="J12" s="3" t="n">
        <v>6.0</v>
      </c>
      <c r="K12" s="7" t="n">
        <v>0.0</v>
      </c>
      <c r="L12" s="2" t="s">
        <v>21</v>
      </c>
    </row>
    <row r="13" ht="12.75" customHeight="true">
      <c r="A13" s="5" t="str">
        <f>HYPERLINK("https://devcloud.cn-east-3.huaweicloud.com/projectman/scrum/78b2e310f37c4e28bfb3ef86179ac134/task/detail/713581700","713581700")</f>
        <v>713581700</v>
      </c>
      <c r="B13" s="2" t="s">
        <v>52</v>
      </c>
      <c r="C13" s="2" t="s">
        <v>53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54</v>
      </c>
      <c r="J13" s="3" t="n">
        <v>4.0</v>
      </c>
      <c r="K13" s="7" t="n">
        <v>0.0</v>
      </c>
      <c r="L13" s="2" t="s">
        <v>21</v>
      </c>
    </row>
    <row r="14" ht="12.75" customHeight="true">
      <c r="A14" s="5" t="str">
        <f>HYPERLINK("https://devcloud.cn-east-3.huaweicloud.com/projectman/scrum/78b2e310f37c4e28bfb3ef86179ac134/task/detail/713567947","713567947")</f>
        <v>713567947</v>
      </c>
      <c r="B14" s="2" t="s">
        <v>55</v>
      </c>
      <c r="C14" s="2" t="s">
        <v>56</v>
      </c>
      <c r="D14" s="2" t="s">
        <v>15</v>
      </c>
      <c r="E14" s="2" t="s">
        <v>16</v>
      </c>
      <c r="F14" s="2" t="s">
        <v>57</v>
      </c>
      <c r="G14" s="2" t="s">
        <v>58</v>
      </c>
      <c r="H14" s="2" t="s">
        <v>19</v>
      </c>
      <c r="I14" s="2" t="s">
        <v>59</v>
      </c>
      <c r="J14" s="3" t="n">
        <v>8.0</v>
      </c>
      <c r="K14" s="7" t="n">
        <v>0.0</v>
      </c>
      <c r="L14" s="2" t="s">
        <v>21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2026-10-09T08:52:25Z</dcterms:created>
  <dc:creator>Apache POI</dc:creator>
</cp:coreProperties>
</file>