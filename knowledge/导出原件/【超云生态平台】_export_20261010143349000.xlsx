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<sst xmlns="http://schemas.openxmlformats.org/spreadsheetml/2006/main" count="1872" uniqueCount="415">
  <si>
    <t/>
  </si>
  <si>
    <t>编号</t>
  </si>
  <si>
    <t>标题</t>
  </si>
  <si>
    <t>结束时间</t>
  </si>
  <si>
    <t>状态</t>
  </si>
  <si>
    <t>处理人</t>
  </si>
  <si>
    <t>预计开始日期</t>
  </si>
  <si>
    <t>预计结束日期</t>
  </si>
  <si>
    <t>优先级</t>
  </si>
  <si>
    <t>创建时间</t>
  </si>
  <si>
    <t>实际工时</t>
  </si>
  <si>
    <t>完成度</t>
  </si>
  <si>
    <t>类型</t>
  </si>
  <si>
    <t>描述</t>
  </si>
  <si>
    <r>
      <rPr>
        <color indexed="12"/>
        <sz val="11.0"/>
        <rFont val="Calibri"/>
      </rPr>
      <t>管理后台-活动订单管理</t>
    </r>
  </si>
  <si>
    <r>
      <rPr>
        <color indexed="12"/>
        <sz val="11.0"/>
        <rFont val="Calibri"/>
      </rPr>
      <t>新建</t>
    </r>
  </si>
  <si>
    <r>
      <rPr>
        <color indexed="12"/>
        <sz val="11.0"/>
        <rFont val="Calibri"/>
      </rPr>
      <t>chp.liu</t>
    </r>
  </si>
  <si>
    <r>
      <rPr>
        <color indexed="12"/>
        <sz val="11.0"/>
        <rFont val="Calibri"/>
      </rPr>
      <t>2026/10/12</t>
    </r>
  </si>
  <si>
    <r>
      <rPr>
        <color indexed="12"/>
        <sz val="11.0"/>
        <rFont val="Calibri"/>
      </rPr>
      <t>2026/10/28</t>
    </r>
  </si>
  <si>
    <r>
      <rPr>
        <color indexed="12"/>
        <sz val="11.0"/>
        <rFont val="Calibri"/>
      </rPr>
      <t>高</t>
    </r>
  </si>
  <si>
    <r>
      <rPr>
        <color indexed="12"/>
        <sz val="11.0"/>
        <rFont val="Calibri"/>
      </rPr>
      <t>2026/10/09 16:19:07 GMT+08:00</t>
    </r>
  </si>
  <si>
    <r>
      <rPr>
        <color indexed="12"/>
        <sz val="11.0"/>
        <rFont val="Calibri"/>
      </rPr>
      <t>Story</t>
    </r>
  </si>
  <si>
    <t xml:space="preserve">
【需求背景】
各活动的礼品订单统一管理
【入口与页面】
后台菜单：积分管理—活动订单管理
列表页＝筛选栏＋导出＋列表 ＋分页；
【核心流程】
1、查看：按筛选条件查询得订单列表；分页浏览；行内「详情」查看订单全量信息。（参考中奖记录操作，时间为审核通过时间）
2、发货：实物性质且待发货时执行，逐单填写物流公司与单号，确认后状态由待发货变为已完成。（参考中奖记录操作）
3、兑换：虚拟性质且待使用时执行，弹窗展示只读兑换码与有效期、可填备注，确认后状态变为已完成。（参考中奖记录操作）
4、课程：课程类礼品为自动发放，订单无需操作，状态直接为已完成。
5、导出：导出当前筛选结果。
6、通知：生成订单时向后台发站内通知；完成实物发货时向用户发站内通知与短信。
【字段与规则】
1、列表项：活动礼品订单ID｜用户名称｜活动名称｜礼品名称｜礼品性质｜审核通过时间｜状态｜备注｜操作。
2、筛选：活动礼品订单ID（精确匹配）／活动名称（模糊）／状态／审核通过时间区间。
3、状态：实物为待兑换、待发货、已完成；虚拟为待使用、已完成、已过期；课程为已完成。
4、操作：详情、发货（仅实物且待发货）、兑换（仅虚拟且待使用）；只在可操作行显示，不做置灰占位。
5、导出：文件名「活动订单管理」；上限 3 万条，超出即提示。
6、排序：按参与时间倒序
【数据规则】
1、订单来源＝礼品发放：一条订单对应一次礼品发放，含礼品的活动才产生订单。
2、只发积分的活动不产生礼品订单，因此不出现在本列表。
</t>
  </si>
  <si>
    <r>
      <rPr>
        <color indexed="12"/>
        <sz val="11.0"/>
        <rFont val="Calibri"/>
      </rPr>
      <t>管理后台-通知中心增加活动订单提醒</t>
    </r>
  </si>
  <si>
    <r>
      <rPr>
        <color indexed="12"/>
        <sz val="11.0"/>
        <rFont val="Calibri"/>
      </rPr>
      <t>2026/10/09 15:47:46 GMT+08:00</t>
    </r>
  </si>
  <si>
    <t xml:space="preserve">【需求背景】
用户在完成活动后领取礼品时，提醒管理员查看和处理活动礼品订单
【入口与页面】
入口一：管理后台通知中心
【数据规则】
1、通知模板
标签页
通知标题
消息内容
触发场景
红点提醒
已读条件
活动订单管理
新活动礼品订单通知
活动礼品订单ID：{订单ID}，用户名称：{用户名称}，活动名称：{活动名称}，礼品名称：{礼品名称}，状态：{订单状态}，请及时查看处理！
用户完成活动生成订单
时（实物／虚拟）
活动订单管理
实物活动订单兑换通知
活动礼品订单ID：{订单ID}，用户名称：{用户名称}，礼品名称：{礼品名称}，状态：{订单状态}，请及时查看处理！
用户为实物活动订单提交收货地址完成兑换
√
通知中心点击通知
或
直接从标签页进入，对抽奖实物兑换订单完成发货
实物活动订单兑换通知-短信模板：
【适创腾扬】新活动礼品订单兑换通知：活动礼品订单ID：{订单ID}，用户名称：{用户名称}，礼品名称：{礼品名称}，状态：{订单状态}，请及时查看处理！
2、 筛选页面字段增加“活动订单管理”的可选项
3、通知中心有实物活动订单兑换通知的未读消息时，左侧导航栏的标签页所在行及其父模块行显示红点；当父模块下所有的子标签页红点都消失时，其红点才会取消显示
</t>
  </si>
  <si>
    <r>
      <rPr>
        <color indexed="12"/>
        <sz val="11.0"/>
        <rFont val="Calibri"/>
      </rPr>
      <t>小程序-积分明细支持活动积分和邀新积分查询</t>
    </r>
  </si>
  <si>
    <r>
      <rPr>
        <color indexed="12"/>
        <sz val="11.0"/>
        <rFont val="Calibri"/>
      </rPr>
      <t>2026/10/09 14:59:45 GMT+08:00</t>
    </r>
  </si>
  <si>
    <t xml:space="preserve">【积分明细】
- 活动积分：原枚举值“答题活动积分”改为“活动积分”，兼顾所有活动发放的积分
小程序——完成发帖判断得积分后，在小程序用户的积分明细中生成活动积分数据，备注填写“活动名称”；
管理后台——在管理后台的用户积分明细列表中显示活动积分，类型—获得，板块—小程序，途径—活动积分，备注—活动ID，点击活动ID打开活动的弹窗（积分明细的弹窗和编辑活动弹窗完全相同，按钮仅查看不可编辑）
</t>
  </si>
  <si>
    <r>
      <rPr>
        <color indexed="12"/>
        <sz val="11.0"/>
        <rFont val="Calibri"/>
      </rPr>
      <t>小程序-积分助手提醒活动礼品兑换</t>
    </r>
  </si>
  <si>
    <r>
      <rPr>
        <color indexed="12"/>
        <sz val="11.0"/>
        <rFont val="Calibri"/>
      </rPr>
      <t>2026/10/09 11:46:58 GMT+08:00</t>
    </r>
  </si>
  <si>
    <t xml:space="preserve">【需求背景】
面向参与活动的用户，在完成帖子审核发布成功后，提醒礼品到账和领取活动礼品
【入口与页面】
入口一：我的—消息—积分助手
【数据规则】
消息标题
消息内容
操作提示语
触发场景
跳转页面
活动奖励领取提醒
积分+礼品：您好！您已成功参与{活动名称}，获得{活动奖励积分}积分和{活动礼品名称}奖励，快去看看吧！
仅积分：您好！您已成功参与{活动名称}，获得{活动奖励积分}积分奖励，快去看看吧！
仅礼品：您好！您已成功参与{活动名称}，获得{活动礼品名称}奖励，快去看看吧！
查看详情
新人首帖活动审核通过
（仅限首篇按模板发帖，后续通过模板发布的帖子不触发）
（如积分+礼品形式，且库存为0时，降为仅积分通知；如仅礼品形式，且库存为0时，不发送通知）
&lt; 首帖活动成功 &gt;页面
活动礼品服务使用提醒
您好！您参与{活动名称}获得的{虚拟性质礼品名称}尚未使用，将于{兑换码过期时间}过期，请及时联系客服提供兑换码使用！
查看详情
兑换码过期前十五天
我的礼品-活动礼品兑换详情
活动礼品兑换提醒
您好！您参与{活动名称}获得的{实物性质礼品名称}尚未填写地址兑换，请及时领取！
去领取礼品
新人首帖活动审核通过，获得的实物性质礼品状态为待兑换超过一天后（只发送一次）
我的礼品-实物礼品兑换提交页面
活动礼品发货通知
您好！您参与{活动名称}获得的{实物礼品名称}已发货，快递单号为{物流单号}，请注意查收！
查看详情
后台确认实物活动礼品兑换发货
我的礼品-实物礼品兑换详情
活动礼品发货通知——短信：
【适创腾扬】您好！您参与活动获得的${prizeName}已发货，快递单号为${logisticsNumber}，请注意查收，详情可登录铸问小程序查看！
</t>
  </si>
  <si>
    <r>
      <rPr>
        <color indexed="12"/>
        <sz val="11.0"/>
        <rFont val="Calibri"/>
      </rPr>
      <t>小程序-积分兑换记录和活动礼品记录整合</t>
    </r>
  </si>
  <si>
    <r>
      <rPr>
        <color indexed="12"/>
        <sz val="11.0"/>
        <rFont val="Calibri"/>
      </rPr>
      <t>2026/10/08 17:47:57 GMT+08:00</t>
    </r>
  </si>
  <si>
    <t xml:space="preserve">
【需求背景】
积分相关活动需要发放礼品，为提供活动礼品领取记录查询，将积分商城的使用积分兑换的礼品订单和活动领取的礼品订单整合至兑换记录
【入口与页面】
入口页面：积分商城页面的【我的礼品】（原兑换记录名称改为我的礼品）
【数据规则】
1、状态：在全部和待使用之间新增一个状态“待兑换”，用于表示活动的实物礼品还未兑换领取
2、来源：在状态行下方增加来源筛选，分为「全部来源」（默认）、「积分兑换」、「活动礼品」
3、礼品卡片：在卡片左上角增加来源标签（积分兑换/活动礼品），活动礼品卡片不显示订单号和积分数值，获得礼品不支持取消订单（活动礼品只记录礼品订单，不记录活动发放的积分，活动发放的积分在积分明细内查询）
4、待兑换：点击待兑换状态的活动礼品，进入地址填写兑换页
</t>
  </si>
  <si>
    <r>
      <rPr>
        <color indexed="12"/>
        <sz val="11.0"/>
        <rFont val="Calibri"/>
      </rPr>
      <t>管理后台-邀请好友活动</t>
    </r>
  </si>
  <si>
    <r>
      <rPr>
        <color indexed="12"/>
        <sz val="11.0"/>
        <rFont val="Calibri"/>
      </rPr>
      <t>中</t>
    </r>
  </si>
  <si>
    <r>
      <rPr>
        <color indexed="12"/>
        <sz val="11.0"/>
        <rFont val="Calibri"/>
      </rPr>
      <t>2026/09/28 23:14:42 GMT+08:00</t>
    </r>
  </si>
  <si>
    <t xml:space="preserve">
【需求背景】
为「邀请好友得积分活动」提供后台配置与风控处置面。
【入口与页面】
后台菜单：积分管理—邀请好友活动（活动配置弹窗与活动列表）。
【核心流程】
1、新建与配置：填基础信息→ 配三阶段与双侧积分数→ 配连续活跃口径→ 配每日上限、累计上限与活动预算→ 配分享设置→ 保存。
2、生效与监控：保存即生效；活动列表可按显示状态即时开关，观活动预算与已派发额度。
3、风控待审核：关系建立时后端识别一次风控并把结论固化；命中关系的各阶段奖励进待审核队列，人工通过、驳回或补发。
4、收尾：活动结束或达预算时自动收尾：在途待审核记录自动驳回并通知，已发放积分不回滚。
【配置字段清单】
①基础信息
1、活动名称：输入框｜必填｜建议≤20 字
2、活动背景图：图片上传｜必填｜png/jpg/jpeg、单张≤5MB；展示于邀请页顶部图片条
3、活动规则：简易富文本｜必填｜不支持图片，≤500 字（参考抽奖规则）
4、显示状态：开关｜必填｜开/关；露出条件＝显示状态开且状态为进行中｜默认关
5、活动开始与结束时间：日期选择器｜必填｜按自然日、含首尾两日；开始不得晚于结束；改期保存即生效
②阶段与积分数
1、阶段清单：列表（固定顺序、不可排序，行内启用开关）｜必填｜三阶段固定顺序＝被邀请人首次注册、发布有效首帖、连续活跃；启用数为0 时保存拦截；依赖固定为②依赖①、③依赖②
2、各阶段两侧积分数：数字输入框×2（邀请人／被邀请人）｜启用该阶段时必填｜正整数；数值全部后台配置
3、阶段③活跃行为定义：多选＋固定项｜必填｜「登录」固定必选且运营不可取消；浏览／点赞／评论／发帖可多选、可为0 项
4、阶段③连续天数与完成周期：数字输入框×2｜必填｜均为正整数（天）；完成周期自阶段②达成起算
③上限与预算
1、每日奖励上限：不限／限制数值二选一＋数字输入框｜必填｜选不限＝无约束（输入框清空置灰）；选限制数值＝正整数、下限1；不得大于累计上限
2、累计奖励上限：同上｜必填｜选不限＝无约束；选限制数值＝正整数、下限1
3、活动预算：同上｜必填｜选限制数值时不得小于单次最大发放额
4、奖励有效期：下拉单选｜必填｜沿用总体规则／30／90／180／365 天
④分享设置
1、分享标题：输入框｜必填｜建议≤30 字
2、分享图片：图片上传｜必填｜png/jpg/jpeg、单张≤5MB
【数据规则】
①发放与上限
1、幂等键：邀请关系× 阶段唯一约束；重复触发、重复进入页面均不重复记账。
2、三重闸量纲：每日上限与累计上限对单个邀请人；活动预算对整个活动总量；被邀请人侧不设上限。
3、扣减与截断：发放前扣减；可用额度为0 即拒发并落「已拒发」记录（原因码为每日上限／累计上限／预算耗尽）；额度不足时按剩余额度截断实发，记录同时保留应发与实发两值。
4、流水与有效期：每笔发放写入积分中台流水与积分明细、途径新增邀请奖励类值；有效期沿用存量积分有效期口径。
②风控与记录
1、识别：同手机号、同设备时视为非新用户，邀请注册用户不加入我的邀请列表。
【交互规则】
①配置弹窗与活动列表
1、弹窗基础信息区顺序：活动名称→ 活动背景图→ 活动规则→ 显示状态→ 活动开始时间→ 活动结束时间。
2、锁定态：进行中活动仅逻辑删除禁用、编辑仍可用；弹窗内按锁定字段最小集置灰，可改项为活动结束时间、剩余额度、活动名称与文案素材类字段。
3、活动列表：共10 列：活动名称、活动时间、阶段启用数、每日上限、累计上限、活动预算、已派发、显示状态（行内切换）、状态、操作列；默认按创建时间倒序。
②待审核工作台
1、队列列：共12 列：记录ID、邀请人、邀请人ID、被邀请人、被邀请人ID、命中风险维度、阶段、应发积分、状态、提交时间、处置时间、操作列（通过／驳回／补发／详情）。
2、展示口径：完整昵称与双方用户ID。
3、筛选与分页：筛选支持关键词、状态（待审核／已通过／已驳回／已拒发）、命中风险维度、阶段与提交时间范围，默认无筛选显示全量；排序按提交时间倒序，分页默认每页10 条。
5、处置操作：通过／驳回／补发均二次确认；驳回须填原因（≤50 字符）；导出为列表除操作列的全部信息，上限10 万条。
③失效与提醒
1、达预算处置：固定按停止发放＋入口关闭处置：入口即时隐藏，经旧链接可达者落受限态并提示「本期奖励已发放完毕，活动入口已关闭」。
</t>
  </si>
  <si>
    <r>
      <rPr>
        <color indexed="12"/>
        <sz val="11.0"/>
        <rFont val="Calibri"/>
      </rPr>
      <t>小程序-邀请好友活动</t>
    </r>
  </si>
  <si>
    <r>
      <rPr>
        <color indexed="12"/>
        <sz val="11.0"/>
        <rFont val="Calibri"/>
      </rPr>
      <t>2026/09/28 22:59:10 GMT+08:00</t>
    </r>
  </si>
  <si>
    <t xml:space="preserve">
【需求背景】
用「邀请好友、双方得积分」的裂变拉新：邀请人分享带唯一参数的小程序卡片，好友首次经邀请落地并注册即绑定关系，按三阶段达成情况向双方分阶段发放积分。
【入口与页面】
入口一：「我的」页面邀请活动卡片。
页面：邀请活动页。
【核心流程】
1、分享：邀请人在邀请页点分享入口，拉起微信分享带唯一参数的小程序卡片或链接。
2、落地与绑定：好友点击落地，首次注册成功即绑定邀请关系；同一新用户只能绑定一名邀请人、绑定后不可更换，不可自邀。
3、阶段达成：好友注册（阶段①）、发布有效首帖并通过基础审核（阶段②）、配置周期内完成连续活跃任务（阶段③）——各阶段达成后双方按该阶段配置获得积分。
4、查看进度：邀请页展示有效邀请数与我的邀请列表，点条目行内展开该好友的三阶段进度。
5、收尾：活动结束或达预算时入口隐藏；已达成的积分不回滚，未达成的阶段不再判定。
【数据规则】
1、时间：阶段达成事件必须落在活动开始至结束之间。
3、到账与上限：每阶段双侧积分自动发放并进入积分明细；邀请人侧的每日与累计上限、活动预算由后台配置，达限时按剩余额度截断实发或拒发。
4、待审核：命中风控的关系其各阶段奖励不即时发放、进后台待审核；后台处置结果同步到邀请页展示。
【交互规则】
①邀请页
1、页面构成：顶部活动背景图图片条、邀请数人数区、分享入口、我的邀请列表、阶段规则、活动规则。
2、我的邀请列表：昵称完整显示＋手机号中间四位掩码＋邀请时间（含年份）；条目右侧显示该好友已带来的积分。
3、阶段进度展开：点击条目行内展开三阶段横向轴线，已达成的节点之后连接段点亮；不展示头像。
②入口与提醒
1、入口显隐：「我的」活动卡片按活动状态与人群条件展示。
【校验规则】
1、绑定约束：同一新用户只能绑定一名邀请人、不可更换；同一自然用户不可自邀（服务端强制校验）。
2、落地容错：参数非法或链接失效时不绑定；已注册的存量用户不可被绑定。
</t>
  </si>
  <si>
    <r>
      <rPr>
        <color indexed="12"/>
        <sz val="11.0"/>
        <rFont val="Calibri"/>
      </rPr>
      <t>管理后台-首页活动管理增加发帖活动</t>
    </r>
  </si>
  <si>
    <r>
      <rPr>
        <color indexed="12"/>
        <sz val="11.0"/>
        <rFont val="Calibri"/>
      </rPr>
      <t>2026/09/28 22:50:58 GMT+08:00</t>
    </r>
  </si>
  <si>
    <t xml:space="preserve">
【需求背景】
为「专项活动体系」提供后台配置面：用判定器组合配置一类活动。
【入口与页面】
后台菜单：系统管理—首页活动管理；增加第4 类型「专项活动」。
向导第三步为专项活动专属配置弹窗，分组为判定、奖励与发奖参数、活动介绍页。
【核心流程】
1、新建活动：选「专项活动」类型→ 填通用信息（名称(增加重名校验)、封面、起止时间、显示状态）→ 进入第三步专属配置。
2、配判定器：选判定器（本期唯一可选：带模板发布帖子且通过审核）→ 选「是否首帖」→ 配「帖子模板」。
3、配奖励与发奖参数：勾选奖励类型并填积分值或选礼品与库存→ 配活动预算与奖励有效期。
4、配活动介绍页：配参与方式与活动规则。
5、保存与状态：保存校验通过即创建；活动按时间窗自动在待开始、进行中、已结束之间流转，达预算时自动把显示状态置关。
【配置字段清单】
①沿用通用字段
1、活动名称、封面图、开始与结束时间、显示状态：沿用首页活动管理的通用口径。
②判定组
1、判定器：单选下拉｜必填｜本期唯一可选项＝带模板发布帖子且通过审核。
2、是否首帖：单选二选一｜必填｜仅限首帖／不限（任意帖子）｜默认仅限首帖；本期固定为仅限首帖，不开放配置
3、帖子模板：可增删列表｜必填｜固定「至少1 条、最多10 条」；0 条为非法配置、满10 条新增被拦截｜可拖拽排序
4、帖子类型：单选｜必填｜图文帖／视频帖｜无默认值，新建须显式选择
5、帖子标题与正文：输入框／多行文本｜必填｜标题≤30 字、正文≤200 字；不可为空、只打空格也算空；字段内可含空位
6、推荐话题：多选（可模糊搜索）｜选填｜最多5 个  3 个
7、配图：上传｜必填｜png/jpg/jpeg、单张≤5MB
8、需审核通过：开关｜置灰只读｜本期固定为开，不开放配置
9、次数上限：数字输入框｜必填｜正整数、下限1；「是否首帖」选仅限首帖时固定为1 且不可编辑
10、展示人群：单选｜必填｜全部登录用户／新人且未发帖用户（默认，注册时间落在「活动开始时间前30 天至活动结束时间」内，且截至活动开始时间从未提交发布过任何状态的帖子）
③奖励与活动介绍页
1、奖励类型与积分值：复选（积分／礼品，至少一项）＋数字输入框｜勾选积分时必填正整数
2、礼品与库存：单选下拉（可模糊搜索）＋数字输入框｜勾选礼品时必填｜候选项取自积分商城已上架礼品，展示封面图、名称与积分值；库存与商城相互独立
3、活动预算：单选不限／限制份数＋数字输入框（正整数，大于等于礼品库存数），单位「份」，右侧只读自动带出总预算，如 「总预算：17600 积分（200 份 × 88 积分）」｜必填｜选不限则输入框清空置灰；选限制份数须填不小于1 的整数｜默认限制份数待填
4、奖励有效期：下拉单选｜必填｜沿用总体规则／30／90／180／365 天
5、参与方式：可增删列表｜必填｜1~10 条、每条为文本且可拖拽排序；0 条与满10 条新增均拦截
6、活动规则：简易富文本｜必填｜不支持图片，≤500 字（参考抽奖规则）
【数据规则】
1、判定与奖励：判定命中即按奖励参数发放
2、预算扣减：发放前扣减（预占成功才发放、失败回滚预占）；达预算（判断标准：积分达到预算或奖励仅有礼品时，礼品库存为0）固定按停止发放＋入口关闭处置(入口一：我的—新人首帖活动入口、入口二：首页活动轮播的「专项活动」卡片都隐藏)，服务端自动把显示状态置关。
3、失效态口径：活动结束或达到预算后不再判定、不再新增发放；已发放奖励不因活动结束作废、可继续兑换（以提交发帖时间为准：结束前已提交、结束后出结果的首帖照常发放，照常发送积分助手通知）
【交互规则】
1、列表与配置面：列表沿用既有列结构与筛选项、仅在「类型」角标新增「专项活动」值；差异化配置全部在表单弹窗内。
2、锁定态：进行中已命中判定的活动其奖励口径类字段（②判定组+③奖励与活动介绍页）整体只读。
3、空位写法：只有一种写法：两个花括号包提示语；花括号必须成对（含左右花括号总数相等）。
4、空位限制：提示语去首尾空白后须非空（只打空格也算空）、1~10 字、不含换行且不再含花括号；上限按字段——标题≤1 个、正文≤5 个。
 【数据统计】
1、入口：活动列表行操作「数据统计」；可点条件＝活动进行中或已结束，待开始置灰不可点（尚无参与数据）。（活动子页面，参考答题活动的数据统计）
2、列表项：用户ID、用户名称、参与时间、审核状态、帖子ID、帖子标题、发放奖励。
3、参与时间：用户发布帖子的时间。
4、帖子ID：显示数字；其右侧「查看」按钮，点击打开帖子详情弹窗，帖子详情弹窗为只读。
6、状态：审核中、审核通过、审核未通过；审核未通过同样计入列表留痕。
7、发放奖励：仅积分时显示「N积分」；仅礼品时显示「礼品订单ID：X」；两者都有时显示「N积分、礼品订单ID：X」。审核未通过不发放奖励，其发放奖励列为空。
8、礼品订单ID：点击跳转活动订单管理，并按该订单ID精确筛出该条；礼品库存不足时，该条发放奖励只加注「（礼品库存不足）」，不再输出礼品订单ID。
9、、筛选：用户ID、用户名称、审核状态、参与时间区间。
10、排序：按参与时间倒序。
</t>
  </si>
  <si>
    <r>
      <rPr>
        <color indexed="12"/>
        <sz val="11.0"/>
        <rFont val="Calibri"/>
      </rPr>
      <t>小程序-新人首帖奖励兑换</t>
    </r>
  </si>
  <si>
    <r>
      <rPr>
        <color indexed="12"/>
        <sz val="11.0"/>
        <rFont val="Calibri"/>
      </rPr>
      <t>2026/09/28 22:25:35 GMT+08:00</t>
    </r>
  </si>
  <si>
    <t xml:space="preserve">
【需求背景】
面向的新用户，用一次低门槛发帖打通首帖并给奖励，拉动新人首帖转化。
【入口与页面】
页面：新人首帖活动成功页。
【核心流程】
1、发奖与领取：审核通过后在新人活动页面，我的进度处点「查看详情」进首帖成功页领取礼品。
【交互规则】
1、页面呈现：发布成功标题、积分到账、当前积分余额（含积分明细入口）与礼品卡；积分和礼品是否显示根据后台配置的奖励和性质判断
2、兑换礼品：实物兑换——地址填写和兑换成功；虚拟兑换——兑换领取兑换码；课程——查看课程视频（参考抽奖兑换，“继续抽奖”的按钮删除；实物兑换成功后的页面，底部的查看中奖记录按钮删除）
3、礼品领取按钮：
未领取--实物：“填写地址，领取礼品”，点击后进入地址填写兑换页面；
已领取--实物（完成地址填写兑换成功）：“已领取，查看详情”，点击后进入礼品订单详情页面；
虚拟：“查看详情”；
课程：“查看详情”；
4、去积分商城看看：点击按钮，跳转「积分商城」首页
4、奖励说明：当礼品库存为0时，文案为「礼品因活动库存有限，已被全部领完，本次不再发放礼品。」点击联系客服按钮，跳转客服对话页面，可咨询活动规则和解释说明
</t>
  </si>
  <si>
    <r>
      <rPr>
        <color indexed="12"/>
        <sz val="11.0"/>
        <rFont val="Calibri"/>
      </rPr>
      <t>小程序-新人首帖活动</t>
    </r>
  </si>
  <si>
    <r>
      <rPr>
        <color indexed="12"/>
        <sz val="11.0"/>
        <rFont val="Calibri"/>
      </rPr>
      <t>2026/09/28 22:22:20 GMT+08:00</t>
    </r>
  </si>
  <si>
    <t xml:space="preserve">
【需求背景】
面向的新用户，用一次低门槛发帖打通首帖并给奖励，拉动新人首帖转化。
【入口与页面】
入口一：我的—新人首帖活动入口。
入口二：首页活动轮播的「专项活动」卡片。
页面：新人首帖活动页；发帖走存量帖子编辑页，不新建发布流程。
【核心流程】
1、进入活动页：从「我的」入口或首页活动卡片进入（人群过滤：「状态为进行中且显示状态为开」且满足人群条件可见；服务端过滤优先、前端兜底，禁止仅前端隐藏）。；展示头图、时间与状态、参与方式、奖励展示、发帖引导模板、活动规则。
2、选模板：点任一「发帖引导模板」卡片即弹「填写模板」半屏弹层。
3、填写模板：含空位的字段只填空位（其余文案只读），无空位的字段整段可改写；未填完不允许进入下一步。
4、进编辑页：点「下一步」进存量帖子编辑页，按模板的帖子类型渲染标题与媒体字段，标题与正文以纯文本带入、推荐话题一并带出。
5、提交与审核：在编辑页点「发布」提交后进机器审核；提交成功回到活动页并提示「已提交审核，通过后积分自动到账」。
6、发奖与领取：审核通过后自动发放积分与礼品（审核通过规则：从活动页进入选择模板完成发帖），活动页进度态变「已完成」；点「查看详情」进首帖成功页领取礼品。
【数据规则】
1、进度态口径：未参与＝展示参与方式；已参与＝展示进度（审核中／审核未通过／已完成（审核通过及以后））。
2、我的进度：用于展示参与者的审核和礼品领取进度
- 进度条：进度条为一整条连续填充，里程碑为已提交首帖、审核通过两段（审核中50%、已完成100%、审核未通过0%）
- 参与时间：固定显示「参与时间」加发帖时间，格式为年-月-日时:分:秒；审核未通过后重新发布并重新提交时刷新为最新一次时间
- 状态--审核中：文案描述为「帖子审核中，奖励已锁定。」；当奖励构成为只发礼品且礼品已领完（库存为0）时，该文案降级为「帖子审核中。」
- 状态--审核未通过：文案描述为「审核未通过，可修改后重新发布。」点击「去重新发布」按钮定位到模板卡
- 状态--已完成：文案描述为「已完成活动，快去查看奖励吧。」点击「查看详情」并进入首帖成功页
3、积分与礼品：积分到账进入积分明细；礼品取自积分商城的已有礼品，活动礼品库存与商城库存相互独立。库存为 0 时礼品区整块不展示、奖励构成为积分加礼品时降级为只发积分；库存为0且奖励构成为只发礼品时视为已无任何可发内容，停止发放并按入口收敛处置（首页活动卡片隐藏、个人中心「我的」入口隐藏）。已完成态在「只发礼品且库存为0」时，文案描述为「活动奖励有限，礼品已全部领完。」。
4、只读态：活动未开始或已结束时，模板卡置灰不可点且不隐藏；领取入口关闭并在进度描述显示「奖励已锁定，领取入口已关闭」。活动结束前已提交的首帖，即使结束后才出审核结果也照常发放（以提交时间为准）；奖励一经发放即可继续兑换、与活动结束脱钩，不因活动结束作废
【交互规则】
① 活动页区块与顺序
1、展示顺序：头图 → 时间与状态 →（未参与：参与方式／已参与：我的进度）→ 奖励展示 → 发帖引导模板 → 活动规则。
2、参与方式：由后台配置。
3、活动规则：由后台配置。
② 发帖引导模板卡与填写弹层
1、卡片构成：配图＋模板名称＋帖子类型标识＋内容预览＋推荐话题标签；点击即进「填写模板」弹层。
2、空位呈现：字段内含空位时，卡片上以占位名称标记直接显示提示语本身，不暴露花括号写法。
3、有占位的字段：弹层内上方为只读文案（空位处只留序号标记），下方按序号逐行列出可填空位，上下序号一一对应。
4、无占位的字段：整块可编辑，模板文案作预填值，可整段改写。
5、字数与拦截：标题按 ≤100 字、正文按 ≤3000 字计数并超限标红；标题和正文可输入特殊字符和表情；未填完或超限时「下一步」置灰，点击给拦截提示。
6、带入与关闭：点击「下一步」后，固定文字＋已填内容拼接带入编辑页；点遮罩不关闭，取消与右上关闭钮关闭。
7、模板话题：填写弹层不允许编辑模板话题，仅查看。（模板配置的话题不能取消，模板带入编辑页的推荐话题不可编辑、不可删除，用户只能追加新话题）
③ 成功页与返回
1、进入方式：仅在审核通过已完成时进入：点击「查看详情」跳转成功页
【校验规则】
1、填写弹层：有空位未填时不允许进入下一步；标题或正文超限时先报超字数、再报未填完。
</t>
  </si>
  <si>
    <r>
      <rPr>
        <color indexed="12"/>
        <sz val="11.0"/>
        <rFont val="Calibri"/>
      </rPr>
      <t>小程序-邀请新人和发帖活动埋点分析</t>
    </r>
  </si>
  <si>
    <r>
      <rPr>
        <color indexed="12"/>
        <sz val="11.0"/>
        <rFont val="Calibri"/>
      </rPr>
      <t>2026/09/28 18:30:52 GMT+08:00</t>
    </r>
  </si>
  <si>
    <t xml:space="preserve">功能事件：
功能名称（点击邀请好友）、用户名称、用户ID
功能名称（点击去发布帖子）、用户名称、用户ID、活动ID、模板ID
</t>
  </si>
  <si>
    <r>
      <rPr>
        <color indexed="12"/>
        <sz val="11.0"/>
        <rFont val="Calibri"/>
      </rPr>
      <t>管理后台-分享管理增加视频教程页面配置</t>
    </r>
  </si>
  <si>
    <r>
      <rPr>
        <color indexed="12"/>
        <sz val="11.0"/>
        <rFont val="Calibri"/>
      </rPr>
      <t>2026/09/28 14:14:34 GMT+08:00</t>
    </r>
  </si>
  <si>
    <t xml:space="preserve">【需求背景】
管理后台配置超云视频页面的分享卡片信息。
【入口与页面】
1、页面位置：系统管理-分享管理。
【规则】
1、页面：列表下增加一行，自定义上传由管理员上传分享图。分享初始化标题见模板表
页面名称
页面类型
分享标题
分享图片
超云视频页
主页面
一起来学习智铸超云视频教程吧！
自定义上传
</t>
  </si>
  <si>
    <r>
      <rPr>
        <color indexed="12"/>
        <sz val="11.0"/>
        <rFont val="Calibri"/>
      </rPr>
      <t>小程序-超云视频教程页面</t>
    </r>
  </si>
  <si>
    <r>
      <rPr>
        <color indexed="12"/>
        <sz val="11.0"/>
        <rFont val="Calibri"/>
      </rPr>
      <t>2026/09/28 09:55:58 GMT+08:00</t>
    </r>
  </si>
  <si>
    <t xml:space="preserve">
【需求背景】
小程序需承载一类「公开页零入口、独立不可返回、只要登录即可查看」的自有视频内容。
【入口与页面】
 1、页面位置：学习中心模块下的「超云视频」独立隐藏视频页；产品可见页面仅此一页。
 2、到达方式：一次性固定入口（小程序码或链接）与他人微信转发分享卡；小程序公开页面（底部导航、首页、学习中心列表）零入口。
【核心流程】
 1、到达落地：用户经固定码、链接或微信转发打开本页，服务端按登录态判定。
 2、已登录：可查看视频列表的展示卡片，点选后在卡片内原地播放。
 3、未登录：自动跳转登录页一次，登录成功回跳本页进入可观看；登录未完成即返回则停留未登录提示态。
 4、观看计数：登录用户首次在该视频触发播放，写入「用户×视频」观看记录、累计去重观看人数加一，列表刷新展示。
 5、转发分享：用户经右上角胶囊「转发」分享，分享标题与封面由后台-分享管理配置（自动截图）
【数据规则】
1、视频观看记录＝用户id、视频id、首次触发播放时间三字段，登录用户首次在该视频触发播放时计一次，以「用户×视频」唯一约束去重，不小于 1 万时折算为「x.x 万」，其余按原值展示。
2、存储方式＝视频文件等信息见附件
3、固定入口＝固定页面路径对应的小程序码、链接和分享卡片
【交互规则】
登录校验
1、首次进入：未登录自动跳转登录页一次，如返回后还是未登录状态，文案「登录后即可观看」加主按钮「去登录」，不再自动循环跳转。
2、登录成功：以 redirect 或 relaunch 方式回跳本页，禁用 navigateTo，避免页面栈出现可返回的登录页。
列表与卡片
 1、导航栏：标题「超云视频」，无返回按钮。
 2、列表卡片：视频卡片纵向单列；封面加右下时长角标；标题右侧显示观看人数。
播放与转发
 1、原地播放：点击卡片在该卡片封面位置原地展开，不跳页、不清空列表、不覆盖其他卡片。
 2、播放组件：支持播放与暂停、倍速、拖动进度条、全屏。
 3、并发限制：同一时刻最多播放一个，播放另一条时上一条自动停止。
 4、进度口径：不记录播放进度、无续播，每次进入从头播放。
边界、异常与提审
 1、检索屏蔽：sitemap 规则须显式禁止本页被微信索引，不能只依赖站内无入口。
 2、提审配合：随学习中心课程隐藏。
</t>
  </si>
  <si>
    <r>
      <rPr>
        <color indexed="12"/>
        <sz val="11.0"/>
        <rFont val="Calibri"/>
      </rPr>
      <t>小程序-有问必答首页增加登录/注册引导</t>
    </r>
  </si>
  <si>
    <r>
      <rPr>
        <color indexed="12"/>
        <sz val="11.0"/>
        <rFont val="Calibri"/>
      </rPr>
      <t>李小玉</t>
    </r>
  </si>
  <si>
    <r>
      <rPr>
        <color indexed="12"/>
        <sz val="11.0"/>
        <rFont val="Calibri"/>
      </rPr>
      <t>2026/09/20</t>
    </r>
  </si>
  <si>
    <r>
      <rPr>
        <color indexed="12"/>
        <sz val="11.0"/>
        <rFont val="Calibri"/>
      </rPr>
      <t>2026/10/13</t>
    </r>
  </si>
  <si>
    <r>
      <rPr>
        <color indexed="12"/>
        <sz val="11.0"/>
        <rFont val="Calibri"/>
      </rPr>
      <t>2026/09/16 10:02:34 GMT+08:00</t>
    </r>
  </si>
  <si>
    <t xml:space="preserve">
 【需求背景】
当前未登录用户进入有问必答首页时，缺少明显的登录/注册引导入口。首页增加登录/注册引导条，引导用户完成登录/注册，解锁更多小程序功能。
【入口与页面】
位置：有问必答首页搜索框下方、频道导航上方
展示对象：未登录用户（含未注册用户）
展示方式：引导条随首页正常滚动，不吸顶；不提供关闭按钮
【交互规则】
1、展示：有问必答首页每次展示时判断当前用户登录状态：
未登录用户首次进入首页 → 展示登录/注册引导条
未登录用户从帖子详情、互动专栏等其他页面返回首页 → 继续展示
已登录用户进入或返回首页 → 不展示
用户在帖子评论、发帖、向专家提问等其他场景完成登录后返回首页 → 不再展示
2、引导条内容：用户图标、提示文案「登录后即可向专家提问、发帖、评论，体验更多功能」、登录/注册按钮
3、点击：点击「登录/注册」→ 进入现有登录/注册页面
4、登录后：登录/注册成功返回有问必答首页 → 重新判断登录状态，引导条不再展示；未完成登录直接返回 → 继续展示引导条
</t>
  </si>
  <si>
    <r>
      <rPr>
        <color indexed="12"/>
        <sz val="11.0"/>
        <rFont val="Calibri"/>
      </rPr>
      <t>管理后台-通知中心增加偏好设置</t>
    </r>
  </si>
  <si>
    <r>
      <rPr>
        <color indexed="12"/>
        <sz val="11.0"/>
        <rFont val="Calibri"/>
      </rPr>
      <t>2026/09/11 09:41:48 GMT+08:00</t>
    </r>
  </si>
  <si>
    <t xml:space="preserve">
【需求背景】
管理后台通知中心新增“偏好设置”，用于控制后台通知和短信是否触发，精确收到消息
【入口与页面】
后台：通知中心，增加偏好设置按钮
【偏好设置弹窗】
1、站内通知
- 各项站内触发通知的开关：除了用户注册关闭外，其余开关都为开
2、短信通知
- 可配置项开关：企业培训、压铸服务预约、积分订单-实物、抽奖兑换-实物均为开
- 手机号配置：可填写11位手机号不超过5个，不少于一个
</t>
  </si>
  <si>
    <r>
      <rPr>
        <color indexed="12"/>
        <sz val="11.0"/>
        <rFont val="Calibri"/>
      </rPr>
      <t>小程序-个人中心信息优化</t>
    </r>
  </si>
  <si>
    <r>
      <rPr>
        <color indexed="12"/>
        <sz val="11.0"/>
        <rFont val="Calibri"/>
      </rPr>
      <t>2026/09/11 09:41:29 GMT+08:00</t>
    </r>
  </si>
  <si>
    <t xml:space="preserve">
【需求背景】
个人中心内容空态和资料编辑优化
【入口与页面】
入口：小程序-个人中心
①默认头像与默认昵称提示
【规则和交互】
1、头像：默认头像——头像叠加遮罩并在头像正中显示笔图标，点击头像唤起编辑资料的头像编辑；非默认头像——不显示遮罩与笔图标，但可正常点击更换头像
2、昵称：默认名称（user_XX、SC_XX）——末尾显示笔图标，昵称文本与笔图标为同一可点区域，点击进入修改昵称页；非默认昵称——不显示笔图标，昵称可点击修改
3、简介：空态——「暂无个人介绍」＋末尾笔图标，点笔图标或整行进入编辑简介页；非空——显示简介文本与右箭头，点击可修改
4、地区：空态——不显示地区行；非空——显示地区，点击可选择切换地区
5、权限：登录用户本人——在个人中心首页可见并可使用头像、昵称、简介、地区四处编辑入口；非本人——不显示任何编辑提示且点击不响应
6、校验：个人资料的编辑和审核保持现有状态不变
②发布-「问答」子tab 空态
【规则和交互】
1、空态触发：已登录且无已发布问答且无本地草稿时显示空态：引导语「暂无发布内容，发布你的第一篇帖子吧」＋主按钮「发布帖子」
2、按钮去向：点「发布帖子」拉起与底部「发布按钮」完全一致的「选择问答类型」弹层（图文类问答、视频类问答），选择后进入帖子编辑页
3、适用范围：空态引导仅在「问答」子页签生效；「仿真案例」子页签保持存量空态文案不变
</t>
  </si>
  <si>
    <r>
      <rPr>
        <color indexed="12"/>
        <sz val="11.0"/>
        <rFont val="Calibri"/>
      </rPr>
      <t>小程序-专栏评论支持置顶操作</t>
    </r>
  </si>
  <si>
    <r>
      <rPr>
        <color indexed="12"/>
        <sz val="11.0"/>
        <rFont val="Calibri"/>
      </rPr>
      <t>2026/09/10 16:50:30 GMT+08:00</t>
    </r>
  </si>
  <si>
    <t xml:space="preserve">
1、专栏嘉宾具备置顶权限，置顶操作同帖子（长按显示置顶和取消置顶）仅互动期可使用置顶操作；置顶操作方式、数量要求、显示效果同帖子。（与帖子不同，作者本人的主评论不默认置顶）
2、后台具备置顶权限，打开评论数弹窗，在操作列支持置顶/取消置顶操作（仅一级评论显示），数量要求不变（后台和嘉宾一共最多5条）
3、屏蔽后，评论取消置顶，置顶数量重新计算，继续公开后该评论为非置顶状态（帖子和互动专栏）
</t>
  </si>
  <si>
    <r>
      <rPr>
        <color indexed="12"/>
        <sz val="11.0"/>
        <rFont val="Calibri"/>
      </rPr>
      <t>管理后台-答题活动批量导入答题解析</t>
    </r>
  </si>
  <si>
    <r>
      <rPr>
        <color indexed="12"/>
        <sz val="11.0"/>
        <rFont val="Calibri"/>
      </rPr>
      <t>2026/09/10 16:47:40 GMT+08:00</t>
    </r>
  </si>
  <si>
    <t xml:space="preserve">
题目导入模板见附件
【需求背景】
为了支撑答题活动题目的配置，以及为后续课程的课前自测、课后习题题目配置搭好导入模板框架
【答题活动-批量导入】
1、初始状态：选择文件并上传，点击可选择文件xlsx导入，重复导入会覆盖源文件；下载模板，点击之后下载内置模板文件
2、模板列：序号 / 题型 / 题干 / 选项A~F / 正确答案 / 分值 / 解析
3、填写规范：题型填「单选题/多选题/判断题」；题干 1-200 字符必填；单选/多选选项 A-F 至少 2 项、每项 1-50 字符；判断题无需填选项；正确答案单选 1 个字母、多选多个英文逗号分隔（如 A,C）、判断题 A 或 B；分值正整数；解析 0-200 字符可选；单次导入 ≤15 条（超出部分无法导入）
4、单活动总量：单个答题活动题目总数 ≤15（批量导入单次 ≤15，且导入后累计不得超过 15）
5、导入预览：显示导入题目的列表，列表下显示“ 共 XX 行 · 可导入 XX 行 · 跳过 XX 行 "
【校验清单】
#
校验情形
判定
原因归类（服务端/日志留痕用，不入界面）
1
题型字段非法
非「单选题/多选题/判断题」三枚举
题型不符
2
题干缺失
为空或全空白
题干缺失
3
题干超长
&gt;200 字符
内容超长
4
选项不足
单选/多选有效选项 &lt;2（含空选项）
选项过少
5
选项超长
任一选项 &gt;50 字符
内容超长
6
选项内容重复
单选/多选两选项文本完全相同（trim 后比较）
选项重复
7
单选题答案数量错误
正确答案列非恰好 1 个字母
答案数量不符
8
多选题答案数量错误
正确答案列 &lt;2 个字母
答案数量不符
9
判断题答案非法
非 A 或 B（与固定选项 正确/错误 不匹配）
答案不符
10
答案不在选项内
正确答案字母超出已填选项范围
答案不在选项内
11
多选分隔符错误
多选答案用中文逗号「，」/空格/顿号分隔
格式错误（应为英文逗号 A,C）
12
分值缺失/非法
分值列为空或非正整数
分值缺失
13
解析超长
解析 &gt;200 字符
内容超长
14
单元格含图文/超链接
题干/选项/解析含图片或超链接（批量导入仅支持纯文本）
含图文/链接
15
数据列不完整
题型/题干/分值等必要列缺失
数据列缺失
16
超出单活动上限
导入后累计 &gt;15 题（按行序，成功部分先入，超出行不入库）
超出上限
17
判断题误填选项
判断题行选项 A~F 任一非空（判断题无需填选项）
格式错误（判断题不应填选项）
18
选项不连续
单选/多选选项未从 A 起连续填写（中间空档，如 A 有 B 空 C 有）
选项缺失（须从 A 起连续）
19
答案小写
正确答案含小写字母（如 a,c，规范要求大写 A~F）
格式错误（答案须大写）
20
超出单次上限
单次导入数据行 &gt;15 条（仅处理前 10 行，其余行不入库并提示）
超出单次上限
21
空行/示例残留
整行为空 → 跳过不报错；非空但含模板示例文字（如“单选题”表头样例残留） → 按题型不符拦截
题型不符/忽略空行
</t>
  </si>
  <si>
    <r>
      <rPr>
        <color indexed="12"/>
        <sz val="11.0"/>
        <rFont val="Calibri"/>
      </rPr>
      <t>小程序-互动专栏增加回顾总结文档</t>
    </r>
  </si>
  <si>
    <r>
      <rPr>
        <color indexed="12"/>
        <sz val="11.0"/>
        <rFont val="Calibri"/>
      </rPr>
      <t>2026/09/08 18:32:24 GMT+08:00</t>
    </r>
  </si>
  <si>
    <t xml:space="preserve">
【需求背景】
回顾期/结束阶段的互动专栏，在详情页评论区上方展示由后台上传的总结文档卡，支持关注嘉宾后下载
【入口与页面】
位置：互动专栏详情页正文下方、评论区上方
【交互规则】
1、展示：阶段=回顾期或结束且已上传→ 展示文档卡；预热期/互动期或未上传→ 不展示
2、文件展示内容：类型、文件名称、文件大小、下载图标
3、下载：
未登录：点击下载提示「请先登录」→ 跳转登录页，登录后回到互动专栏详情页
已登录未关注嘉宾：toast提示「下载总结文档需先关注嘉宾，快去关注吧」
已登录且已关注或嘉宾本人：完成下载，下载进度条参考帖子文件下载
4、失效兜底：后台删除文档后，重进详情页卡片即时消失；文件下载失败提示「文档不存在」； 
</t>
  </si>
  <si>
    <r>
      <rPr>
        <color indexed="12"/>
        <sz val="11.0"/>
        <rFont val="Calibri"/>
      </rPr>
      <t>管理后台-专栏管理功能优化</t>
    </r>
  </si>
  <si>
    <r>
      <rPr>
        <color indexed="12"/>
        <sz val="11.0"/>
        <rFont val="Calibri"/>
      </rPr>
      <t>2026/09/08 18:25:56 GMT+08:00</t>
    </r>
  </si>
  <si>
    <t xml:space="preserve">
【需求背景】
互动专栏回顾期/结束后，需上传总结文档供用户下载（复盘资料/结课文件）
【入口与页面】
后台：系统管理-首页内容管理-互动专栏管理列表-操作列「总结文档」弹窗
【交互规则】
1、入口显隐：阶段=回顾期或结束→ 操作列显示「总结文档」操作；未开始/预热期/互动期→ 隐藏入口；
「总结文档」弹窗
1、弹窗内提示：显示专栏名称和阶段
2、弹窗状态-未上传：
上传文件控件：文件选择资源管理器｜必填｜doc/docx/ppt/pptx/pdf（扩展名不区分大小写）｜单文件不超过100MB；
每专栏文档数：有且仅有1个
3、弹窗状态-已上传：
显示内容：文件名称、大小、上传时间
操作-下载预览：点击下载预览可唤起浏览器下载文件
操作-删除：二次确认提示「删除后小程序端将不再展示」，确定后回到未上传状态、可重新上传
</t>
  </si>
  <si>
    <r>
      <rPr>
        <color indexed="12"/>
        <sz val="11.0"/>
        <rFont val="Calibri"/>
      </rPr>
      <t>小程序-首页活动埋点数据分析</t>
    </r>
  </si>
  <si>
    <r>
      <rPr>
        <color indexed="12"/>
        <sz val="11.0"/>
        <rFont val="Calibri"/>
      </rPr>
      <t>2026/09/08 18:23:25 GMT+08:00</t>
    </r>
  </si>
  <si>
    <t xml:space="preserve">功能事件：
功能名称：点击活动，活动名称、活动类型、时间、用户ID、用户名称
功能名称：提交答题，活动名称、时间、用户ID、用户名称
浏览量：
页面名称：案例库首页
页面名称：案例详情页、预留字段填写案例名称和积分（免费为0）
</t>
  </si>
  <si>
    <r>
      <rPr>
        <color indexed="12"/>
        <sz val="11.0"/>
        <rFont val="Calibri"/>
      </rPr>
      <t>管理后台-首页活动管理</t>
    </r>
  </si>
  <si>
    <r>
      <rPr>
        <color indexed="12"/>
        <sz val="11.0"/>
        <rFont val="Calibri"/>
      </rPr>
      <t>2026/09/08 18:01:24 GMT+08:00</t>
    </r>
  </si>
  <si>
    <t xml:space="preserve">
原型见附件
【需求背景】
新增首页活动管理：后台系统管理下维护多类型活动，小程序首页内容流首块以活动轮播露出
【入口与页面】
后台：系统管理-新增独立小节「首页活动管理」
【活动弹窗】
1、选择类型（仅在新建时显示）
- 活动类型：单选卡｜必填｜创建后不可改（答题活动/图文/跳转链接）
2、通用信息
- 活动名称：输入框｜必填｜≤ 10 字
- 封面图：图片上传（png/jpg/jpeg 单张≤5MB）｜必填｜轮播卡素材
- 起止时间：日期时间｜必填｜未到开始=待开始、到点自动进行中、到结束自动已结束，今天≤开始时间≤结束时间，进行中状态编辑时，开始时间不可编辑
- 显示状态开关：开关｜默认开｜露出=状态进行中且开关开，已结束＝自动置关且不可改
3、类型配置——答题活动专属：
- 活动规则：输入框｜必填｜≤200 字
- 活动介绍图：图片上传（png/jpg/jpeg 单张≤5MB）｜必填｜答题详情头图
- 计入每日总上限开关：开关｜默认关｜表示答题活动是否计入每日上限
- 题目列表：单选/多选/判断，1题 ≤  数量  ≤ 15 题；发布后题干/选项/答案/积分锁定。支持逐题新增/编辑/删除/拖拽排序、批量导入（从本地上传解析）、从历史活动导入（下拉选择历史活动，可选项为答题活动类型，下拉框支持模糊搜索），15道题不分页
- 题目字段：题干：≤200 字＋多图（≤5 张）；选项：梳理2~6 且互不相同、每项≤50 字＋单图（可选≤5MB）；单选/判断答案1 个、多选≥2；判断题固定A正确/B错误；每题奖励积分正整数；解析 ≤200 字符可选
- 题目总数：单活动≤15（新增/批量/历史导入累计拦截，超出行不入库并提示）
- 批量导入：仅支持文本题目导入
- 导入勾选：批量导入与历史导入的题目列表均逐条勾选（默认不勾）；表头提供全选；勾选数受题目上限（15）实时约束——已达上限时未勾行视觉置灰但仍可点，点击置灰行即提示「题目数量已达上限」（不勾入）；全选同样受上限约束（可导入行多于额度时勾到上限、其余不勾并提示）；入库仅取勾选行；删除已有题目时导入面板保持打开（仅刷新额度）
- 发布确认：答题活动创建点击新建后，需二次确认（提示题目锁定）
3、类型配置——图文活动专属：
- 图文内容：活动主图（必填，png/jpg/jpeg 单张≤5MB）＋活动描述（必填≤200）＋内容段落（专栏式「小标题＋正文＋图片」三段式，各5个）
3、类型配置——跳转链接活动专属：
- 跳转目标：页面级/详情级二选一选择器，必填，页面-下拉单选（积分商城首页/签到/积分榜单/积分获取/积分抽奖/仿真案例库/压铸护航服务/培训课程/专栏/压铸百科）；详情 -对象类型下拉（礼品详情/话题详情/帖子详情/案例详情/课程详情）→ 支持名称模糊搜索的单选下拉框
- 跳转目标登录要求：登录要求同已有页面的限制
- 答题统计口径：参与（提交数/人数）、正确率、选项占比（单选/判断）、多选仅整题对错占比（不展开选项）、积分发放量（与流水对账一致）
【交互规则】
1、列表结构：排序列/活动ID/活动名称/类型/封面（可点击查看大图）/开始时间/结束时间/显示状态开关/状态标签（待开始·进行中·已结束）/操作列；
2、操作-编辑：待开始状态所有类型可编辑；进行中状态，都可编辑，但答题类型的题目锁定只读（无法新建/编辑/批量导入/历史导入/删除，允许查看题目详情，图片用缩略图，可点击查看大图）；已结束状态，答题类型置灰不可编辑；其余类型可编辑改期重发
3、操作-删除：点击后二次确认【是否确认删除？】确定后，删除活动，首页不再展示
4、操作-数据统计：仅答题类型显示，待开始统计置灰、进行中/已结束可看，点击后→进入数据统计独立子页
5、关联对象失效（跳转页面内容下架/删除）：显示开关强制关＋列内红 ! 悬停提示「关联项不存在，请重新编辑」
6、数量限制：首页轮播最多展示 5 个，按后台列表顺序取前 5 作为轮播集合，第 6 个及以后不进轮播（在显示状态列标注「未进轮播」）
   对课程管理-banner管理和积分活动管理的数量最多展示10个，第 11个及以后不进轮播（在显示状态列标注「未进轮播」）
7、排序：创建时间倒序排列，拖拽左侧的排序图标进行排序，小程序端按排序展示banner。
【数据统计子页】
1、概览：参与人数、正确率、积分发放量
2、题目详情数据：题目列表，每行展示序号、题目类型、题干（图片用缩略图，可点击查看大图）、正确率。每道题可展开查看详细数据
3、每题详细数据：各选项占比（单选/判断，正确选项用绿色字体标识）、多选仅整题对错占比（不展开选项，占比上方显示全部选项内容、正确选项用绿色字体标识）、解析； 每题提交用户列表，列＝用户ID｜用户名称｜作答结果（答对/答错）｜答题时间；支持按全部/答对/答错过滤，用户列表支持分页
</t>
  </si>
  <si>
    <r>
      <rPr>
        <color indexed="12"/>
        <sz val="11.0"/>
        <rFont val="Calibri"/>
      </rPr>
      <t>小程序-答题赢积分活动</t>
    </r>
  </si>
  <si>
    <r>
      <rPr>
        <color indexed="12"/>
        <sz val="11.0"/>
        <rFont val="Calibri"/>
      </rPr>
      <t>2026/09/08 18:01:01 GMT+08:00</t>
    </r>
  </si>
  <si>
    <t xml:space="preserve">
原型见附件
【需求背景】
答题得积分活动（整卷作答、答对发积分）
【核心流程】
1、答题流程：答题活动点击→答题页（整卷作答全部题完成才可提交、作答期间可修改）→ 提交答卷→ 逐题展示对错/解析＋完成结算卡
【交互规则】
1、作答：整卷一次性提交——登录用户须答完全部题目才能提交；提交前可修改
2、页面：
活动介绍部分：显示活动主图、活动名称、活动时间、活动规则
题目内容部分：吸顶常驻「已选N/总数· 答对最多可赢积分」、吸顶题序全览（展示全部题序，点击题号可平滑定位到题目并短暂高亮，区分未答/已选/答对/答错），每道题展示序号、题型、题干（图片可查看大图）、选项（图片可查看大图）、积分、状态（未答/已选/答对/答错）
3、提交：
全部题作答完成后按钮才可点击，提交后按钮变成"已提交已参加本次活动"状态，不可再次点击，弹出结算弹窗
结算弹窗-有答对项：显示“答题完成 · 获得 {n} 积分”和答对数/本轮得分/积分余额，按钮为查看解析（次）+去商城兑换（主）（点击后跳转积分商城页）
结算弹窗-无答对项：显示“已提交答卷，本轮未得分，下次活动继续加油！”，按钮为赚更多积分（次）（点击后跳转积分获取页）+查看解析（主）
查看解析：关闭弹窗，答题页面逐题展示正确答案/你的回答/解析（对题标对、错题标错），答对的题需要显示已获得该题的积分，更新进度条吸顶常驻「答对N/总数· 赢得积分X」
4、再次进入：答题页展示历史结果，不能再次作答；如未提交已选的选项不会保存
5、每日总积分上限：仅活动「计入每日总上限」开关开启时生效；以提交时刻当日已发累计判定，不超发；上限按自然日重置。
6、触发后的发放处理：答题应得积分≥当日剩余最多可获得积分时，按剩余值发放
8、结算卡文案：有答对题目且截断 →「由于积分每日上限的限制，本次活动应得XX 积分，实际获得XX 积分。」；有答对题目且已达上限，实发0→「您今日积分已达上限，本次答题活动不发放积分」，标题为「本轮答对N 题」。
9、吸顶栏说明：有答对题目且截断 → 得分处显示感叹号，点击弹出「您提交答题时由于积分上限的限制，本次活动应得XX 积分，实际获得XX 积分。」；有答对题目且已达上限，实发0 → 得分处显示感叹号，点击弹出「您提交答题时积分已达上限，答题活动积分不再发放」
【校验规则】
- 判分口径：单选/判断对则得该题分；多选=所选集合与答案集合完全一致才得分；答错不发不扣
- 答题详情页登录限制：整卷登录后，才能进入详情页；未登录需先完成登录
【积分明细】
- 答题活动积分：完成提交判断得积分后，在小程序用户的积分明细中生成活动积分数据，备注填写“活动名称”；在管理后台的用户积分明细列表中显示活动积分，类型—获得，板块—小程序，途径—答题活动积分，备注—活动ID，点击活动ID打开答题活动的弹窗（积分明细的弹窗和编辑答题活动弹窗完全相同，除了题目的查看按钮可点击，其余按钮仅查看不可编辑）
如果发放积分出现截断，用户积分明细备注填写“活动名称”+“（由于积分上限的限制实际获得XX积分）”
</t>
  </si>
  <si>
    <r>
      <rPr>
        <color indexed="12"/>
        <sz val="11.0"/>
        <rFont val="Calibri"/>
      </rPr>
      <t>小程序-有问必答首页增加活动入口</t>
    </r>
  </si>
  <si>
    <r>
      <rPr>
        <color indexed="12"/>
        <sz val="11.0"/>
        <rFont val="Calibri"/>
      </rPr>
      <t>2026/09/08 17:59:39 GMT+08:00</t>
    </r>
  </si>
  <si>
    <t xml:space="preserve">
【需求背景】
小程序首页内容流首块新增活动轮播：答题得积分活动、通用图文活动等
【入口与页面】
小程序有问必答首页帖子内容流第一篇（首页）活动轮播
【核心流程】
1、轮播展示：
管理后台配置的进行中且显示开关开的活动，顺序由后台列表拖拽配置；
多个活动自动循环可手动滑动查看；
无活动时整块隐藏、首帖位恢复展示帖子
在最新/推荐/精选/我的关注下都显示
需要适配卡片和列表两种形式
2、跳转页面：
答题活动类型→答题活动详情页
图文活动类型→图文活动详情页
跳转活动类型→点击后跳转后台配置的目标页/详情页（登录要求同已有页面的限制，如需登录页面且未登录时，点击后提示「请先登录」并跳转登录页，登录成功后回到首页）
</t>
  </si>
  <si>
    <r>
      <rPr>
        <color indexed="12"/>
        <sz val="11.0"/>
        <rFont val="Calibri"/>
      </rPr>
      <t>小程序-提交订单或预约后客服联系方式优化</t>
    </r>
  </si>
  <si>
    <r>
      <rPr>
        <color indexed="12"/>
        <sz val="11.0"/>
        <rFont val="Calibri"/>
      </rPr>
      <t>2026/09/23 14:48:28 GMT+08:00</t>
    </r>
  </si>
  <si>
    <r>
      <rPr>
        <color indexed="12"/>
        <sz val="11.0"/>
        <rFont val="Calibri"/>
      </rPr>
      <t>已关闭</t>
    </r>
  </si>
  <si>
    <r>
      <rPr>
        <color indexed="12"/>
        <sz val="11.0"/>
        <rFont val="Calibri"/>
      </rPr>
      <t>2026/09/07</t>
    </r>
  </si>
  <si>
    <r>
      <rPr>
        <color indexed="12"/>
        <sz val="11.0"/>
        <rFont val="Calibri"/>
      </rPr>
      <t>2026/09/22</t>
    </r>
  </si>
  <si>
    <r>
      <rPr>
        <color indexed="12"/>
        <sz val="11.0"/>
        <rFont val="Calibri"/>
      </rPr>
      <t>2026/09/07 16:31:10 GMT+08:00</t>
    </r>
  </si>
  <si>
    <t xml:space="preserve">1、企业培训提交成功后的反馈页面增加客服二维码，提示语改成“我们将尽快与您联系，更多内容欢迎咨询在线客服”
2、线下培训、企业培训、用户反馈、预约压铸服务、训练营课程、虚拟类礼品兑换提交和兑换详情（包含抽奖）的客服二维码支持长按识别
</t>
  </si>
  <si>
    <r>
      <rPr>
        <color indexed="12"/>
        <sz val="11.0"/>
        <rFont val="Calibri"/>
      </rPr>
      <t>管理后台-通知中心优化</t>
    </r>
  </si>
  <si>
    <r>
      <rPr>
        <color indexed="12"/>
        <sz val="11.0"/>
        <rFont val="Calibri"/>
      </rPr>
      <t>2026/09/23 14:48:33 GMT+08:00</t>
    </r>
  </si>
  <si>
    <r>
      <rPr>
        <color indexed="12"/>
        <sz val="11.0"/>
        <rFont val="Calibri"/>
      </rPr>
      <t>2026/09/01 15:35:10 GMT+08:00</t>
    </r>
  </si>
  <si>
    <t xml:space="preserve">
1、新用户注册的管理后台通知提醒停用
2、通知中心有新投诉通知、投诉反馈通知、新积分订单通知、订单取消通知、新用户反馈通知、新培训定制通知、新培训报名通知、新课程订单通知、新护航服务预约通知、实物中奖兑换通知的未读消息时，左侧导航栏的标签页所在行及其父模块行显示红点，点击标签页后红点取消；当父模块下所有的子标签页红点都消失时，其红点才会取消显示
3、抽奖管理-中奖记录下，筛选栏的状态下拉字段补充“待兑换”枚举值
标签页
通知标题
消息内容
触发场景
红点提醒
已读条件
投诉管理
新投诉通知
投诉ID：{投诉ID}，用户{投诉人名称}投诉{被投诉人名称}的帖子《{被投诉帖子标题}》涉及{投诉原因}，请及时查看处理！
用户提交新投诉
√
通知中心点击通知
或
直接从标签页进入，点击了用户相关的数据行的消息或者对投诉完成处理
投诉管理
投诉反馈通知
用户{用户名称}提交了新的投诉相关举证信息，请及时查看处理！
(被)投诉人补充举证材料，每日15：00用户发送消息仍为未读时触发通知，同一用户一天只发送一条通知
√
通知中心点击通知
或
直接从标签页进入，点击了用户相关的数据行的消息或者对投诉完成处理
订单管理
新积分订单通知
订单ID：{积分订单ID}，用户名称：{用户名称}，礼品名称：{礼品名称}，状态：{订单状态}，请及时查看处理！
实物或虚拟性质订单
√
通知中心点击通知
或
直接从标签页进入，对实物订单完成发货或取消订单/对虚拟订单完成兑换或取消订单
订单管理
订单取消通知
订单ID：{订单ID}，用户{用户名称}自行取消了该订单，请及时查看处理！
用户取消订单
√
通知中心点击通知
抽奖管理
新中奖通知
中奖ID：{中奖ID}，用户名称：{用户名称}，奖品名称：{奖品名称}，状态：{中奖记录状态}，请及时查看处理！
实物或虚拟（谢谢参与、积分奖除外）性质订单
用户列表
新用户注册通知
用户{用户手机号}注册了小程序，去看看吧！
用户注册
用户反馈
新用户反馈通知
用户{用户名称}对压铸百科的{章节名称}-{小节名称}提交了优化建议，请及时查看处理！
用户提交反馈
√
通知中心点击通知
或
直接从标签页进入，对用户反馈标记为已处理
企业培训
新培训定制通知
用户{预约填写的姓名}提交了企业培训定制需求，请及时查看处理！
用户提交新企业培训
√
通知中心点击通知
或
直接从标签页进入，对培训标记为已处理
线下培训
新培训报名通知
用户{用户名称}报名了{培训主题名称}，请及时查看处理！
用户提交线下培训报名
√
通知中心点击通知
课程订单
新课程订单通知
订单ID：{课程订单ID}，用户名称：{用户名称}，课程名称：{课程名称}，状态：{订单状态}，去看看吧！
用户购买课程
√
通知中心点击通知
服务预约管理
新护航服务预约通知
用户{预约填写的姓名}提交了压铸护航服务预约需求，请及时查看处理！
用户提交护航服务预约
√
通知中心点击通知
或
直接从标签页进入，对预约标记为已处理
抽奖管理
实物中奖兑换通知
中奖ID：{中奖ID}，用户名称：{用户名称}，奖品名称：{奖品名称}，状态：{中奖记录状态}，请及时查看处理！
用户抽奖的实物完成地址填写提交兑换
√
通知中心点击通知
或
直接从标签页进入，对抽奖实物兑换订单完成发货
</t>
  </si>
  <si>
    <r>
      <rPr>
        <color indexed="12"/>
        <sz val="11.0"/>
        <rFont val="Calibri"/>
      </rPr>
      <t>小程序-有问必答搜索空状态优化</t>
    </r>
  </si>
  <si>
    <r>
      <rPr>
        <color indexed="12"/>
        <sz val="11.0"/>
        <rFont val="Calibri"/>
      </rPr>
      <t>2026/09/23 14:48:37 GMT+08:00</t>
    </r>
  </si>
  <si>
    <r>
      <rPr>
        <color indexed="12"/>
        <sz val="11.0"/>
        <rFont val="Calibri"/>
      </rPr>
      <t>2026/08/30 15:00:45 GMT+08:00</t>
    </r>
  </si>
  <si>
    <t xml:space="preserve">
需求描述：
有问必答首页搜索执行搜索且零结果时，空态展示 AI 引导「没有找到相关内容？让小铸手帮你答」，点击「问小铸手」按钮直接跳转 AI 小铸手对话页
未登录走既有登录，如继续未登录点击返回回搜索页，如完成登录直接进入AI小铸手页面
范围仅限有问必答首页搜索，结果 tab 为「全部回答/相关用户」，仅「全部回答」零结果时展示 AI 引导，「相关用户」零结果为普通空态，初始未搜索态不展示
有结果搜索不出现引导模块
</t>
  </si>
  <si>
    <r>
      <rPr>
        <color indexed="12"/>
        <sz val="11.0"/>
        <rFont val="Calibri"/>
      </rPr>
      <t>小程序-AI回答增加点赞与不喜欢反馈</t>
    </r>
  </si>
  <si>
    <r>
      <rPr>
        <color indexed="12"/>
        <sz val="11.0"/>
        <rFont val="Calibri"/>
      </rPr>
      <t>2026/09/23 14:48:41 GMT+08:00</t>
    </r>
  </si>
  <si>
    <r>
      <rPr>
        <color indexed="12"/>
        <sz val="11.0"/>
        <rFont val="Calibri"/>
      </rPr>
      <t>2026/08/29 20:30:31 GMT+08:00</t>
    </r>
  </si>
  <si>
    <t xml:space="preserve">
需求描述：
铸问AI助手对话页每条 AI 回答气泡下方新增「点赞」「不喜欢」反馈按钮
逐行回复完成后显示，回复进行中不显示
点击高亮、再点取消，赞/踩互斥切换（同一时刻至多一个态度）
仅登录用户可反馈，重进会话/历史回顾保留既有反馈状态
</t>
  </si>
  <si>
    <r>
      <rPr>
        <color indexed="12"/>
        <sz val="11.0"/>
        <rFont val="Calibri"/>
      </rPr>
      <t>小程序-悬浮按钮和引导动画埋点分析</t>
    </r>
  </si>
  <si>
    <r>
      <rPr>
        <color indexed="12"/>
        <sz val="11.0"/>
        <rFont val="Calibri"/>
      </rPr>
      <t>2026/09/23 14:48:46 GMT+08:00</t>
    </r>
  </si>
  <si>
    <r>
      <rPr>
        <color indexed="12"/>
        <sz val="11.0"/>
        <rFont val="Calibri"/>
      </rPr>
      <t>2026/08/28 19:00:32 GMT+08:00</t>
    </r>
  </si>
  <si>
    <t xml:space="preserve">功能事件：
点赞AI回答：问题名称、用户名称、用户ID、回答内容
不喜欢AI回答：问题名称、用户名称、用户ID、回答内容
点击问小铸手按钮：搜索内容、点击时间、用户名称、用户ID
点击悬浮按钮：按钮类型（积分商城等）、点击时间、用户名称、用户ID
点击悬浮引导动画按钮：按钮类型（积分商城等）、点击时间、用户名称、用户ID
点击悬浮关闭引导动画按钮：按钮类型（积分商城等）、点击时间、用户名称、用户ID
订阅专栏：专栏名称、互动时间、订阅时间、用户名称、用户ID
</t>
  </si>
  <si>
    <r>
      <rPr>
        <color indexed="12"/>
        <sz val="11.0"/>
        <rFont val="Calibri"/>
      </rPr>
      <t>小程序-积分商城增加回到顶部按钮</t>
    </r>
  </si>
  <si>
    <r>
      <rPr>
        <color indexed="12"/>
        <sz val="11.0"/>
        <rFont val="Calibri"/>
      </rPr>
      <t>2026/09/23 14:48:50 GMT+08:00</t>
    </r>
  </si>
  <si>
    <r>
      <rPr>
        <color indexed="12"/>
        <sz val="11.0"/>
        <rFont val="Calibri"/>
      </rPr>
      <t>2026/08/28 19:00:03 GMT+08:00</t>
    </r>
  </si>
  <si>
    <t xml:space="preserve">
需求描述
积分商城首页右下角新增「回到顶部」悬浮按钮：滚动超过 1.5 屏 后淡入出现，点击平滑滚动回顶部且按钮隐藏，滚回阈值以内淡出隐藏，内容不足阈值始终不显示
仅积分商城首页生效，其他页面不出现该按钮
页面初始（未滚动）状态回到顶部按钮不显示，内容不足 1.5 屏阈值的页面无按钮出现
按钮不遮挡底部导航
积分规则：分享任意页面的内容，都能计入分享积分（压铸护航服务、套餐详情等）
</t>
  </si>
  <si>
    <r>
      <rPr>
        <color indexed="12"/>
        <sz val="11.0"/>
        <rFont val="Calibri"/>
      </rPr>
      <t>小程序-订单发货和新订单短信提醒</t>
    </r>
  </si>
  <si>
    <r>
      <rPr>
        <color indexed="12"/>
        <sz val="11.0"/>
        <rFont val="Calibri"/>
      </rPr>
      <t>2026/09/23 14:48:54 GMT+08:00</t>
    </r>
  </si>
  <si>
    <r>
      <rPr>
        <color indexed="12"/>
        <sz val="11.0"/>
        <rFont val="Calibri"/>
      </rPr>
      <t>2026/08/28 16:14:43 GMT+08:00</t>
    </r>
  </si>
  <si>
    <t xml:space="preserve">
   序号
业务场景
接收方
通知类型
1
后台确认实物订单发货
用户
短信 + 积分助手通知
2
用户生成实物兑换订单
管理员
短信
3
用户提交抽奖实物兑换地址
管理员
短信 + 后台通知
4
后台确认抽奖实物兑换发货
用户
短信 + 积分助手通知
5
收到企业培训定制需求
管理员
短信
6
收到压铸护航服务预约
管理员
短信
1、后台确认订单发货后，向用户发送短信和积分助手通知
订单发货给用户的短信模板：【适创腾扬】您好！您兑换的{实物礼品名称}已发货，快递单号为{物流单号}，请注意查收，详情可登录铸问小程序查看！
消息标题
消息内容
操作提示语
触发场景
跳转页面
订单发货通知
您好！您兑换的{实物礼品名称}已发货，快递单号为{物流单号}，请注意查收！
查看订单详情
后台确认实物订单发货
兑换详情
2、用户点击兑换实物，生成订单后，给管理员发短信通知（管理员手机号）
新订单给管理员的短信模板：【适创腾扬】新积分订单通知：订单ID：{积分订单ID}，用户名称：{用户名称}，礼品名称：{礼品名称}，状态：{订单状态}，请及时查看处理！
3、抽奖实物订单完成地址填写提交兑换后，触发管理后台通知并给管理员发送短信（管理员手机号）
新抽奖实物订单给管理员的短信模板：【适创腾扬】新兑换订单通知：用户名称：{用户名称}，礼品名称：{奖品名称}，状态：{中奖记录状态}，请及时查看处理！
标签页
通知标题
消息内容
触发场景
抽奖管理
实物中奖兑换通知
中奖ID：{中奖ID}，用户名称：{用户名称}，奖品名称：{奖品名称}，状态：{中奖记录状态}，请及时查看处理！
用户抽奖的实物完成地址填写提交兑换
4、后台确认实物抽奖兑换发货后，向用户发送短信和积分助手通知
实物抽奖兑换发货给用户的短信模板：【适创腾扬】您好！您兑换的{实物礼品名称}已发货，快递单号为{物流单号}，请注意查收，详情可登录铸问小程序查看！
消息标题
消息内容
操作提示语
触发场景
跳转页面
中奖礼品发货通知
您好！您中奖兑换的{实物礼品名称}已发货，快递单号为{物流单号}，请注意查收！
查看兑换详情
后台确认抽奖实物兑换发货
抽奖的兑换详情
5、收到企业培训后，给管理员发短信通知
新企业培训给管理员的短信模板：【适创腾扬】新企业培训定制通知：用户{预约填写的姓名}提交了企业培训定制需求，请及时查看处理！
6、收到压铸护航服务预约后，给管理员发短信通知
新压铸护航预约给管理员的短信模板：【适创腾扬】新护航服务预约通知：用户{预约填写的姓名}提交了压铸护航服务预约需求，请及时查看处理！
标签页
通知标题
消息内容
触发场景
红点提醒
已读条件
投诉管理
新投诉通知
投诉ID：{投诉ID}，用户{投诉人名称}投诉{被投诉人名称}的帖子《{被投诉帖子标题}》涉及{投诉原因}，请及时查看处理！
用户提交新投诉
√
通知中心点击通知
或
直接从标签页进入，点击了用户相关的数据行的消息或者对投诉完成处理
投诉管理
投诉反馈通知
用户{用户名称}提交了新的投诉相关举证信息，请及时查看处理！
(被)投诉人补充举证材料，每日15：00用户发送消息仍为未读时触发通知，同一用户一天只发送一条通知
√
通知中心点击通知
或
直接从标签页进入，点击了用户相关的数据行的消息或者对投诉完成处理
订单管理
新积分订单通知
订单ID：{积分订单ID}，用户名称：{用户名称}，礼品名称：{礼品名称}，状态：{订单状态}，请及时查看处理！
实物或虚拟性质订单
√
通知中心点击通知
或
直接从标签页进入，对实物订单完成发货或取消订单/对虚拟订单完成兑换或取消订单
订单管理
订单取消通知
订单ID：{订单ID}，用户{用户名称}自行取消了该订单，请及时查看处理！
用户取消订单
√
通知中心点击通知
抽奖管理
新中奖通知
中奖ID：{中奖ID}，用户名称：{用户名称}，奖品名称：{奖品名称}，状态：{中奖记录状态}，请及时查看处理！
实物或虚拟（谢谢参与、积分奖除外）性质订单
用户列表
新用户注册通知
用户{用户手机号}注册了小程序，去看看吧！
用户注册
用户反馈
新用户反馈通知
用户{用户名称}对压铸百科的{章节名称}-{小节名称}提交了优化建议，请及时查看处理！
用户提交反馈
√
通知中心点击通知
或
直接从标签页进入，对用户反馈标记为已处理
企业培训
新培训定制通知
用户{预约填写的姓名}提交了企业培训定制需求，请及时查看处理！
用户提交新企业培训
√
通知中心点击通知
或
直接从标签页进入，对培训标记为已处理
线下培训
新培训报名通知
用户{用户名称}报名了{培训主题名称}，请及时查看处理！
用户提交线下培训报名
√
通知中心点击通知
课程订单
新课程订单通知
订单ID：{课程订单ID}，用户名称：{用户名称}，课程名称：{课程名称}，状态：{订单状态}，去看看吧！
用户购买课程
√
通知中心点击通知
服务预约管理
新护航服务预约通知
用户{预约填写的姓名}提交了压铸护航服务预约需求，请及时查看处理！
用户提交护航服务预约
√
通知中心点击通知
或
直接从标签页进入，对预约标记为已处理
抽奖管理
实物中奖兑换通知
中奖ID：{中奖ID}，用户名称：{用户名称}，奖品名称：{奖品名称}，状态：{中奖记录状态}，请及时查看处理！
用户抽奖的实物完成地址填写提交兑换
√
通知中心点击通知
或
直接从标签页进入，对抽奖实物兑换订单完成发货
</t>
  </si>
  <si>
    <r>
      <rPr>
        <color indexed="12"/>
        <sz val="11.0"/>
        <rFont val="Calibri"/>
      </rPr>
      <t>小程序-悬浮按钮引导动画</t>
    </r>
  </si>
  <si>
    <r>
      <rPr>
        <color indexed="12"/>
        <sz val="11.0"/>
        <rFont val="Calibri"/>
      </rPr>
      <t>2026/09/23 14:48:58 GMT+08:00</t>
    </r>
  </si>
  <si>
    <r>
      <rPr>
        <color indexed="12"/>
        <sz val="11.0"/>
        <rFont val="Calibri"/>
      </rPr>
      <t>2026/08/28 16:14:01 GMT+08:00</t>
    </r>
  </si>
  <si>
    <t xml:space="preserve">
需求描述：
半透明遮罩 + 【按钮类型及其响应页面、文案标题、引导提示语、按钮提示语】由后台配置
自动关闭时长3秒（入场0.5s+引导呼吸4.2s+出场0.5s）
任意交互可提前关闭，点击悬浮按钮跳转对应页面
低端机/旧基础库降级为静态引导图，交互行为一致
仅已登录用户首次进入有问必答首页触发引导动画，生命周期内仅展示一次；未登录（游客）不展示
首屏渲染完成后延迟约500ms播放
弱网加载超3秒或积分获取返回按钮显示时本次不展示且不消耗“仅一次”资格；切后台或同会话重复进入不重复展示
积分商城/积分榜单/签到/积分获取/积分抽奖设计图标
</t>
  </si>
  <si>
    <r>
      <rPr>
        <color indexed="12"/>
        <sz val="11.0"/>
        <rFont val="Calibri"/>
      </rPr>
      <t>管理后台-悬浮配置管理</t>
    </r>
  </si>
  <si>
    <r>
      <rPr>
        <color indexed="12"/>
        <sz val="11.0"/>
        <rFont val="Calibri"/>
      </rPr>
      <t>2026/09/23 14:49:02 GMT+08:00</t>
    </r>
  </si>
  <si>
    <r>
      <rPr>
        <color indexed="12"/>
        <sz val="11.0"/>
        <rFont val="Calibri"/>
      </rPr>
      <t>2026/08/28 16:13:37 GMT+08:00</t>
    </r>
  </si>
  <si>
    <t xml:space="preserve">
原型见附件
【入口与页面】
后台：系统管理-「悬浮配置管理」
【配置字段清单】
排期行（新建/编辑弹窗）：
- 入口类型：下拉（积分商城/签到/积分榜单/积分获取/积分抽奖）｜必填｜创建后不可改
- 生效时段：日期范围选择器｜必填｜开始≤结束且结束≥今天；与已创建的排期区间互斥
- 文案标题：输入框｜必填｜≤11 字
- 指引提示语：输入框｜必填｜≤34 字
- 按钮提示语：输入框｜必填｜≤4 字
- 动画开关：开关｜默认开｜开＝该排期生效期间播放引导动画
- 生效时自动重置动画：开关｜默认关｜开启后该排期进入生效那一刻自动执行引导重置（版本+1、触达从 0 重计）；开启时二次确认【该排期进入生效时将自动重置动画并+1 版本该排期生效后会重置动画并重新统计动画点击人数】；仅在待生效状态下可设置。（勾选「生效时自动重置动画」后，版本列右侧展示”自动重置“标签（区别于手动触发）；进入生效那一刻执行重置后，编辑弹窗内开关自动复位为关置灰不可操作、标签移除）
AI 基线行（编辑弹窗）：字段同上（无生效时段和「生效时自动重置动画」），类型固定为 AI 小铸手。（动画开关默认开；三文案预设＝「有问题？问问AI小铸手」/「压铸/材料/工艺问题，随时为你解答」/「开始体验」）
【数据规则】
 - 引导版本号：每入口类型独立编号，从 1 起始；重置＝版本+1
- 「动画点击人数」口径：点击动画引导按钮的人数，重置后新版本从 0 重计、旧版本入历史
【交互规则】
① 列表与排期行
1 、列表结构：AI 基线行（置顶、常驻）＋已结束 ＋排期行（可多条、同类型可重复）；排期行按开始时间升序
2 、AI 基线行：不参与排序、不可删除；生效时段显示「长期」标签；可编辑三文案/动画开关；重置按钮仅展示态可用（无排期生效中时可点，被生效排期替代时置灰禁用）
3 、行状态：
- 待生效：编辑可｜删除可｜动画开关可｜重置不可·置灰
- 生效中：编辑可｜删除可｜动画开关可｜重置可
- 已结束：编辑不可｜重置不可｜动画开关不可｜删除可·二次确认
4 、已结束折叠：默认收起为「已结束 N」一行（N＝条数），点击展开可查看全部已结束排期；折叠行固定于 AI 基线行后第二行、不参与分页（展开明细同样固定）
5、 排期分页：生效/待生效分页查看
② 时间线视图
1 、时间线窗口：滚动 6 个月窗口（W_start＝「今天」所在月首日、W_end＝W_start+6 个月，随「今天」自动滚动）；时间轴＋当前日期指针＋排期色块（仅今天及未来，色块悬停显「类型：起止日期」）＋AI 基线底色带
2 、窗口边界：不在时间线内的排期可通过排期列表查看，跨界色块在窗口边缘截断
③ 操作与列
1 、操作-删除：二次确认【确定要删除排期吗？删除后该排期将不再替代 AI，对应时段恢复 AI 兜底展示】后移除该排期行
2 、操作-重置动画：二次确认【确定要重置引导动画吗？重置后版本号 +1，全体用户将重新看到该入口的引导动画并重新统计动画点击人数】后，该入口类型引导版本+1、全体用户本地旧标记失效
3 、「动画点击人数」列：
- 展示：人数 &gt;0 时右侧「查看」按钮→ 触发用户列表弹窗（列表项为用户ID/昵称/触发时间）
【校验规则】
 - 单行校验：开始≤结束；结束≥今天（拦截「立即失效」配置，不允许配置已过去的排期）。
- 区间互斥：任意两条排期区间重叠（与当前日期无关）即拦截保存并提示。
- 类型范围：同类型可重复排期
【小程序端显示】
1、存在生效排期→渲染该排期入口（替代 AI）；无生效排期→渲染 AI 基线（兜底）；图标与跳转：按类型绑定映射渲染图标
2、用户点击入口图标 → 按类型绑定跳转目标页；引导动画期间点按钮同跳转目标页
3、引导动画：统一模板＋三文案（文案标题/指引提示语/按钮提示语）按后台配置替换
4、点击动画引导按钮时上报触发记录
5、播放完整条件：入口已渲染 且 动画开关开 且 已登录 且 版本内首次 且 无互斥浮层（即返回积分获取按钮） 且 首屏正常；首屏正常后延迟 500ms 触发，弱网首屏超 3s 不播
</t>
  </si>
  <si>
    <r>
      <rPr>
        <color indexed="12"/>
        <sz val="11.0"/>
        <rFont val="Calibri"/>
      </rPr>
      <t>管理后台-互动专栏查看订阅详情</t>
    </r>
  </si>
  <si>
    <r>
      <rPr>
        <color indexed="12"/>
        <sz val="11.0"/>
        <rFont val="Calibri"/>
      </rPr>
      <t>2026/09/23 14:49:07 GMT+08:00</t>
    </r>
  </si>
  <si>
    <r>
      <rPr>
        <color indexed="12"/>
        <sz val="11.0"/>
        <rFont val="Calibri"/>
      </rPr>
      <t>2026/08/28 16:13:09 GMT+08:00</t>
    </r>
  </si>
  <si>
    <t xml:space="preserve">
需求描述：
管理后台-首页内容管理-互动专栏管理新增订阅人数列
「订阅人数」列数字旁「查看」按钮（订阅人数为 0 时隐藏），点击弹出订阅详情弹窗
订阅详情弹窗（弹窗下显示专栏名称，列表项包含用户ID、用户名称、订阅时间列）
4、管理后台-投票管理，「投票人数」列数字旁「查看」按钮（投票人数为 0 时隐藏）
</t>
  </si>
  <si>
    <r>
      <rPr>
        <color indexed="12"/>
        <sz val="11.0"/>
        <rFont val="Calibri"/>
      </rPr>
      <t>小程序-个人中心订阅通知提醒</t>
    </r>
  </si>
  <si>
    <r>
      <rPr>
        <color indexed="12"/>
        <sz val="11.0"/>
        <rFont val="Calibri"/>
      </rPr>
      <t>2026/09/23 14:49:11 GMT+08:00</t>
    </r>
  </si>
  <si>
    <r>
      <rPr>
        <color indexed="12"/>
        <sz val="11.0"/>
        <rFont val="Calibri"/>
      </rPr>
      <t>2026/08/28 16:12:41 GMT+08:00</t>
    </r>
  </si>
  <si>
    <t xml:space="preserve">
需求描述：
互动期开始日 00:00 全部有效订阅用户收到一次「订阅通知」
已通知不重复，取消订阅后不再收到该专栏提醒
消息会话列表显示「订阅通知」，会话横幅显示图标/标题/摘要（单行省略）/时间/未读数。未读红点提醒与系统通知一致
点击「订阅通知」会话横幅进入订阅通知详情页，每条订阅通知完整显示（互动期 banner 图+标题+全文），点击订阅通知卡片跳转专栏详情页（消息历史直达若目标不可展示：消息提醒→ toast「内容不存在」）
标题模板：「您订阅的互动专栏已开启，快来参与」
全文模板：「您订阅的互动专栏《{专栏名称}》互动期已开始，{嘉宾名称}专家限时互动中，快来参与讨论吧！」
增加短信提醒（互动期开始日12：30）
短信模板：【适创腾扬】您好！您订阅的互动专栏《{专栏名称}》互动期已开始，{嘉宾名称}专家限时互动中，快来登录铸问小程序参与讨论吧！
</t>
  </si>
  <si>
    <r>
      <rPr>
        <color indexed="12"/>
        <sz val="11.0"/>
        <rFont val="Calibri"/>
      </rPr>
      <t>小程序-互动专栏支持订阅</t>
    </r>
  </si>
  <si>
    <r>
      <rPr>
        <color indexed="12"/>
        <sz val="11.0"/>
        <rFont val="Calibri"/>
      </rPr>
      <t>2026/09/23 14:49:14 GMT+08:00</t>
    </r>
  </si>
  <si>
    <r>
      <rPr>
        <color indexed="12"/>
        <sz val="11.0"/>
        <rFont val="Calibri"/>
      </rPr>
      <t>2026/08/28 15:21:23 GMT+08:00</t>
    </r>
  </si>
  <si>
    <t xml:space="preserve">
需求描述：
预热期用户在专栏详情页点击「订阅」按钮订阅
预热期专栏详情页显示「订阅」按钮，点击切换「已订阅」，再次点击取消
未登录点击订阅跳转登录页，登录后返回原页面
同一用户同一专栏仅一条订阅关系
互动期/回顾期/结束阶段订阅按钮隐藏
专栏嘉宾本人订阅按钮正常显示、可订阅且正常接收提醒
互动期开始日 00:00 全部有效订阅用户收到一次「订阅通知」
已通知不重复，取消订阅后不再收到该专栏提醒
</t>
  </si>
  <si>
    <r>
      <rPr>
        <color indexed="12"/>
        <sz val="11.0"/>
        <rFont val="Calibri"/>
      </rPr>
      <t>小程序-通过分享链接注册或登录后自动进入分享页面</t>
    </r>
  </si>
  <si>
    <r>
      <rPr>
        <color indexed="12"/>
        <sz val="11.0"/>
        <rFont val="Calibri"/>
      </rPr>
      <t>2026/09/23 14:49:18 GMT+08:00</t>
    </r>
  </si>
  <si>
    <r>
      <rPr>
        <color indexed="12"/>
        <sz val="11.0"/>
        <rFont val="Calibri"/>
      </rPr>
      <t>2026/08/24</t>
    </r>
  </si>
  <si>
    <r>
      <rPr>
        <color indexed="12"/>
        <sz val="11.0"/>
        <rFont val="Calibri"/>
      </rPr>
      <t>2026/09/08</t>
    </r>
  </si>
  <si>
    <r>
      <rPr>
        <color indexed="12"/>
        <sz val="11.0"/>
        <rFont val="Calibri"/>
      </rPr>
      <t>2026/08/19 16:14:50 GMT+08:00</t>
    </r>
  </si>
  <si>
    <t xml:space="preserve">当前问题：通过分享链接进入小程序后，提示注册/登录，完成后默认回到小程序首页
期望效果：通过分享链接进入小程序后，提示注册/登录，完成后默认回到分享页面。（如分享的是有问必答首页，该页面不需要登录也能查看，继续点击帖子详情页评论或个人中心等其他需要登录的页面，在完成注册登录后回到跳转前的页面）
未登录状态下分享页面，无需提示登录和跳转登录页面，不计入积分
</t>
  </si>
  <si>
    <r>
      <rPr>
        <color indexed="12"/>
        <sz val="11.0"/>
        <rFont val="Calibri"/>
      </rPr>
      <t>小程序-首页推荐关注和互动专栏补充过滤条件</t>
    </r>
  </si>
  <si>
    <r>
      <rPr>
        <color indexed="12"/>
        <sz val="11.0"/>
        <rFont val="Calibri"/>
      </rPr>
      <t>2026/09/08 18:26:19 GMT+08:00</t>
    </r>
  </si>
  <si>
    <r>
      <rPr>
        <color indexed="12"/>
        <sz val="11.0"/>
        <rFont val="Calibri"/>
      </rPr>
      <t>2026/08/17 11:26:47 GMT+08:00</t>
    </r>
  </si>
  <si>
    <t xml:space="preserve">1、用户登录小程序后，查看首页的推荐关注用户需移除用户本人
2、用户登录小程序后，查看嘉宾为本人的专栏时，专栏下的嘉宾卡片点击头像跳转到个人中心页面，嘉宾卡片的关注/私信按钮隐藏（专栏列表下的基本卡片同样隐藏）
3、首页互动专栏轮播图滚动条颜色调整为更深颜色，突出视觉效果
</t>
  </si>
  <si>
    <r>
      <rPr>
        <color indexed="12"/>
        <sz val="11.0"/>
        <rFont val="Calibri"/>
      </rPr>
      <t>小程序-压铸护航和案例库整合</t>
    </r>
  </si>
  <si>
    <r>
      <rPr>
        <color indexed="12"/>
        <sz val="11.0"/>
        <rFont val="Calibri"/>
      </rPr>
      <t>2026/09/08 18:26:24 GMT+08:00</t>
    </r>
  </si>
  <si>
    <r>
      <rPr>
        <color indexed="12"/>
        <sz val="11.0"/>
        <rFont val="Calibri"/>
      </rPr>
      <t>2026/08/13 18:21:40 GMT+08:00</t>
    </r>
  </si>
  <si>
    <t xml:space="preserve">
设计专区
1、原底部的仿真案例库名称和图案改为设计专区
2、进入后，页面顶部分为仿真案例库(默认)和压铸护航服务两个tab，原仿真案例库的搜索框下移出导航栏，作为单独的一行，参考有问必答
</t>
  </si>
  <si>
    <r>
      <rPr>
        <color indexed="12"/>
        <sz val="11.0"/>
        <rFont val="Calibri"/>
      </rPr>
      <t>小程序-压铸护航服务埋点分析</t>
    </r>
  </si>
  <si>
    <r>
      <rPr>
        <color indexed="12"/>
        <sz val="11.0"/>
        <rFont val="Calibri"/>
      </rPr>
      <t>2026/09/08 18:26:28 GMT+08:00</t>
    </r>
  </si>
  <si>
    <r>
      <rPr>
        <color indexed="12"/>
        <sz val="11.0"/>
        <rFont val="Calibri"/>
      </rPr>
      <t>2026/08/13 18:15:40 GMT+08:00</t>
    </r>
  </si>
  <si>
    <t xml:space="preserve"> 预约压铸服务：用户ID、用户名称、姓名、联系方式、期望交付时间、需求和产品描述
功能事件：点击服务介绍tab、点击案例介绍tab、点击套餐介绍tab、点击联系客服、点击案例的“我也要做”
浏览量：压铸护航服务页、案例详情页、套餐详情页
（所有浏览量的字段信息调整：页面地址由原来填写英文路径改为页面的中文名称）
</t>
  </si>
  <si>
    <r>
      <rPr>
        <color indexed="12"/>
        <sz val="11.0"/>
        <rFont val="Calibri"/>
      </rPr>
      <t>管理后台-服务预约通知提醒</t>
    </r>
  </si>
  <si>
    <r>
      <rPr>
        <color indexed="12"/>
        <sz val="11.0"/>
        <rFont val="Calibri"/>
      </rPr>
      <t>2026/09/08 18:26:33 GMT+08:00</t>
    </r>
  </si>
  <si>
    <r>
      <rPr>
        <color indexed="12"/>
        <sz val="11.0"/>
        <rFont val="Calibri"/>
      </rPr>
      <t>2026/08/13 16:05:31 GMT+08:00</t>
    </r>
  </si>
  <si>
    <t xml:space="preserve"> 
标签页
通知标题
消息内容
触发场景
服务预约管理
新护航服务预约通知
用户{预约填写的姓名}提交了压铸护航服务预约需求，请及时查看处理！
用户提交护航服务预约
筛选栏的页面可选项增加“”服务预约管理“
</t>
  </si>
  <si>
    <r>
      <rPr>
        <color indexed="12"/>
        <sz val="11.0"/>
        <rFont val="Calibri"/>
      </rPr>
      <t>小程序-积分商城浏览礼品详情优化</t>
    </r>
  </si>
  <si>
    <r>
      <rPr>
        <color indexed="12"/>
        <sz val="11.0"/>
        <rFont val="Calibri"/>
      </rPr>
      <t>2026/09/08 18:26:37 GMT+08:00</t>
    </r>
  </si>
  <si>
    <r>
      <rPr>
        <color indexed="12"/>
        <sz val="11.0"/>
        <rFont val="Calibri"/>
      </rPr>
      <t>2026/08/13 09:32:41 GMT+08:00</t>
    </r>
  </si>
  <si>
    <t xml:space="preserve">积分礼品详情页面
当礼品积分不足时，礼品详情页中不可点击的“积分不足”按钮，改为名称“积分不足，去赚积分”，可点击跳转&lt; 积分获取 &gt;页面
进入礼品详情页，礼品的封面图、详情图都支持点击查看大图
</t>
  </si>
  <si>
    <r>
      <rPr>
        <color indexed="12"/>
        <sz val="11.0"/>
        <rFont val="Calibri"/>
      </rPr>
      <t>小程序-积分榜单支持分享转发</t>
    </r>
  </si>
  <si>
    <r>
      <rPr>
        <color indexed="12"/>
        <sz val="11.0"/>
        <rFont val="Calibri"/>
      </rPr>
      <t>2026/09/08 18:26:41 GMT+08:00</t>
    </r>
  </si>
  <si>
    <r>
      <rPr>
        <color indexed="12"/>
        <sz val="11.0"/>
        <rFont val="Calibri"/>
      </rPr>
      <t>2026/08/12 16:23:48 GMT+08:00</t>
    </r>
  </si>
  <si>
    <t xml:space="preserve">   
页面名称
页面类型
分享标题
分享图片
积分榜单
主页面
积分榜单上线啦，快来看看你的排名吧！
待设计
未登录用户通过分享进入小程序，查看积分榜单时，提示请先登录，跳转登录页
</t>
  </si>
  <si>
    <r>
      <rPr>
        <color indexed="12"/>
        <sz val="11.0"/>
        <rFont val="Calibri"/>
      </rPr>
      <t>小程序-预约压铸护航服务</t>
    </r>
  </si>
  <si>
    <r>
      <rPr>
        <color indexed="12"/>
        <sz val="11.0"/>
        <rFont val="Calibri"/>
      </rPr>
      <t>2026/09/08 18:26:45 GMT+08:00</t>
    </r>
  </si>
  <si>
    <r>
      <rPr>
        <color indexed="12"/>
        <sz val="11.0"/>
        <rFont val="Calibri"/>
      </rPr>
      <t>2026/08/12 16:20:11 GMT+08:00</t>
    </r>
  </si>
  <si>
    <t xml:space="preserve">
立即预约弹窗
1、入口：点击“立即预约护航服务”按钮，打开半屏弹窗
2、表单内容：姓名、联系方式、期望交付时间、产品和需求描述（选填）
3、姓名：必填，字数限制不超过24个字，不支持特殊字符输入
4、联系方式：必填，限制11位数字
5、期望交付时间：必填，日期选择器，可选日期为当天之后的日期
6、产品和需求描述：选填，最多 300 字符
7、提交预约：全部字段校验通过后，方可点击，否则toast提示“请先正确填写信息”。通过后，打开成功反馈弹窗
提交成功弹窗
1、提示语：已收到您的预约信息，长按下方二维码添加客服可咨询更多内容
2、客服二维码：提示语下方显示客服联系二维码
3、提交信息：回显姓名、联系方式、期望交付时间，描述字段有值时追加展示
4、按钮：「我知道了」，点击后关闭提交成功弹窗
</t>
  </si>
  <si>
    <r>
      <rPr>
        <color indexed="12"/>
        <sz val="11.0"/>
        <rFont val="Calibri"/>
      </rPr>
      <t>管理后台-服务预约管理</t>
    </r>
  </si>
  <si>
    <r>
      <rPr>
        <color indexed="12"/>
        <sz val="11.0"/>
        <rFont val="Calibri"/>
      </rPr>
      <t>2026/09/08 18:26:49 GMT+08:00</t>
    </r>
  </si>
  <si>
    <r>
      <rPr>
        <color indexed="12"/>
        <sz val="11.0"/>
        <rFont val="Calibri"/>
      </rPr>
      <t>2026/08/12 16:18:41 GMT+08:00</t>
    </r>
  </si>
  <si>
    <t xml:space="preserve">服务预约管理
1、入口：压铸护航管理-服务预约管理
2、列表项：姓名、联系方式、期望交付时间、产品和需求描述、提交时间 、操作列
3、排序：默认按提交时间倒序排列
4、筛选：可按照姓名、联系方式、处理状态、提交时间、期望交付时间查询
5、操作：点击「标记为已处理」按钮，弹出二次确认「是否确认标记为已处理？」，成功后该按钮名称变为「已处理」，状态更新
</t>
  </si>
  <si>
    <r>
      <rPr>
        <color indexed="12"/>
        <sz val="11.0"/>
        <rFont val="Calibri"/>
      </rPr>
      <t>管理后台-护航服务管理</t>
    </r>
  </si>
  <si>
    <r>
      <rPr>
        <color indexed="12"/>
        <sz val="11.0"/>
        <rFont val="Calibri"/>
      </rPr>
      <t>2026/09/08 18:26:53 GMT+08:00</t>
    </r>
  </si>
  <si>
    <r>
      <rPr>
        <color indexed="12"/>
        <sz val="11.0"/>
        <rFont val="Calibri"/>
      </rPr>
      <t>2026/08/12 16:18:20 GMT+08:00</t>
    </r>
  </si>
  <si>
    <t xml:space="preserve">
护航服务管理
1、入口：压铸护航管理-护航服务管理
2、tab：基础信息- 服务内容- 服务优势- 适用场景- 行业案例- 套餐- 常见问题
3、基础信息：
3.1、内容：主标题（≤ 20 字符）、 副标题（≤ 50 字符）、 背景图（单图上传） 分享标题（≤ 20 字符）、分享缩略图（单图上传），均为必填   主标题和副标题可填，其余必填。
3.2、编辑：默认只读，点「编辑」进入可编辑态，显示取消/确定
4、服务内容、服务优势、适用场景、行业案例、套餐、常见问题：六个模块均为「表格 + 弹窗编辑」结构，支持新增、编辑、删除、行内启用开关、行拖拽排序
4.1、字段
-服务内容：服务标题、背景图、启用状态
-服务优势：优势标题、背景图、启用状态
-适用场景：场景标题、背景图、启用状态
-行业案例：案例标题、案例标签、案例描述、背景图、案例详情内容、启用状态
-套餐：套餐标题、标签、售价、原价、是否推荐款、套餐特性、套餐详情图、启用状态
-常见问题：问题、回答、启用状态
4.2、列表展示
- 服务内容：排序、服务标题、背景图、启用状态、操作。
- 服务优势：排序、优势标题、背景图、启用状态、操作。
- 适用场景：排序、场景标题、背景图、启用状态、操作。
- 行业案例：排序、案例标题、标签、案例描述、背景图、启用状态、操作。
- 套餐：排序、套餐标题、原价、售价、标签、推荐状态、启用状态、操作。
- 常见问题：排序、问题、回答、启用状态、操作。
4.3、字数限制：
- 标题类字段（服务标题、优势标题、场景标题、案例标题、套餐标题、分享标题）：不超过 20 字。
- 描述类字段（副标题、案例描述、回答）：不超过 200 字。
- 标签类字段（案例标签、套餐标签）：不超过 8 字。
- 特性类短句列表（套餐特性）：每条不超过 15 字、最多 10 条、不可重复
4.4、图片限制：支持 png、jpg、jpeg，单张不超过 5MB，单图上传（套餐详情图单张不超过10MB）
4.5、交互
- 新增：表格上方按钮，文案为「新增 + 模块名」，打开新增弹窗
- 编辑：弹窗回填数据，保存时校验。
- 删除：二次确认后删除。
- 启用开关：表格「启用状态」列内开关直接切换。
- 排序：可拖拽排序
4.6、各模块新建/编辑弹窗字段
服务内容： 服务标题 → 背景图 → 启用状态。
服务优势： 优势标题 → 背景图 → 启用状态。
适用场景： 场景标题 → 背景图 → 启用状态。
行业案例： 案例标题 → 案例标签 → 案例描述 → 背景图 → 案例详情内容（分段富文本，支持小标题、正文、图片三种格式并可排序）→ 启用状态。
套餐： 套餐标题、标签、售价、原价（售价、原价为数字输入）、是否推荐款、启用状态→ 套餐特性（短句列表）→ 套餐详情图 → 分享标题 → 分享缩略图。
常见问题： 问题 → 回答 → 启用状态。
4.7、弹窗交互说明
- 短句列表：输入框 + 添加按钮，回车也可添加；以标签展示、可单个删除；自动去重，并受长度与数量上限约束。
- 图片字段：单图上传，再传需先删除。
- 案例详情内容：分段富文本，支持小标题、正文、图片三种格式，并可上下排序。各支持数量上限为15个
- 套餐售价、原价：数字输入，正整数。
- 启用状态：开关控件。
- 保存时对全部输入、上传、列表字段执行完整校验，未通过则不提交
4.8、数量限制
- 各模块条目（服务内容、服务优势、适用场景、套餐）不超过 8 条数据，否则新增按钮置灰，悬浮提示“已达到条目上限”
4.9、显示状态
- 各模块条目（服务内容、服务优势、适用场景、行业案例、套餐、常见问题）有启用数据时，正常显示；无启用数据时，模块在小程序端隐藏
4.10、分享边界限制
旧分享/历史直达若目标不可展示：
本套餐停用/模块入口无启用数据/套餐被删→ toast「内容不存在」→ 跳转「设计专区」首页
案例详情→ toast「内容不存在」→ 跳转「设计专区」首页
课程详情→ toast「内容不存在」→ 跳转「课程」首页
礼品详情→ toast「内容不存在」→ 跳转「积分商城」首页
</t>
  </si>
  <si>
    <r>
      <rPr>
        <color indexed="12"/>
        <sz val="11.0"/>
        <rFont val="Calibri"/>
      </rPr>
      <t>管理后台-投票管理补充详细信息</t>
    </r>
  </si>
  <si>
    <r>
      <rPr>
        <color indexed="12"/>
        <sz val="11.0"/>
        <rFont val="Calibri"/>
      </rPr>
      <t>2026/09/08 18:26:57 GMT+08:00</t>
    </r>
  </si>
  <si>
    <r>
      <rPr>
        <color indexed="12"/>
        <sz val="11.0"/>
        <rFont val="Calibri"/>
      </rPr>
      <t>2026/08/12 16:10:01 GMT+08:00</t>
    </r>
  </si>
  <si>
    <t xml:space="preserve">
投票管理
1、在投票人数列，旁显示“查看”按钮，点击查看按钮，打开投票详情弹窗
2、投票详情包含问题、人数、各选项人数和比例，投票用户列表（用户名称、选项、投票时间，支持筛选搜索）
</t>
  </si>
  <si>
    <r>
      <rPr>
        <color indexed="12"/>
        <sz val="11.0"/>
        <rFont val="Calibri"/>
      </rPr>
      <t>小程序-积分任务完成条件优化</t>
    </r>
  </si>
  <si>
    <r>
      <rPr>
        <color indexed="12"/>
        <sz val="11.0"/>
        <rFont val="Calibri"/>
      </rPr>
      <t>2026/09/08 18:27:01 GMT+08:00</t>
    </r>
  </si>
  <si>
    <r>
      <rPr>
        <color indexed="12"/>
        <sz val="11.0"/>
        <rFont val="Calibri"/>
      </rPr>
      <t>2026/08/12 16:07:28 GMT+08:00</t>
    </r>
  </si>
  <si>
    <t xml:space="preserve">1、帖子获赞规则：点赞需要排除本人为自己帖子点赞获取积分的情况
2、审核失败的帖子，点赞帖子、评论帖子、浏览帖子、分享等任何与帖子相关的动作都不计入积分
</t>
  </si>
  <si>
    <r>
      <rPr>
        <color indexed="12"/>
        <sz val="11.0"/>
        <rFont val="Calibri"/>
      </rPr>
      <t>小程序-压铸护航服务</t>
    </r>
  </si>
  <si>
    <r>
      <rPr>
        <color indexed="12"/>
        <sz val="11.0"/>
        <rFont val="Calibri"/>
      </rPr>
      <t>2026/09/08 18:27:04 GMT+08:00</t>
    </r>
  </si>
  <si>
    <r>
      <rPr>
        <color indexed="12"/>
        <sz val="11.0"/>
        <rFont val="Calibri"/>
      </rPr>
      <t>2026/08/12 16:05:42 GMT+08:00</t>
    </r>
  </si>
  <si>
    <t xml:space="preserve">
压铸护航服务
1、页面采用单页多视图结构，顶部设有三个标签页：服务介绍、案例介绍、套餐介绍。默认进入服务介绍视图。切换标签时，页面内容整体替换，同时顶部标签高亮随当前视图联动，并自动回到页面顶部。三个视图各自独立成块，互不混排。底部悬浮条始终固定在视口底部（案例详情页和套餐详情页除外），随页面滚动保持可见，包含"立即预约"按钮，点击立即预约弹出立即预约半屏弹窗。客服按钮悬浮固定在屏幕右侧（案例详情页和套餐详情页除外），随页面滚动保持可见，点击客服进入客服对话页面。
2、服务介绍：包含基础信息、服务内容、服务优势、适用场景。
3、视图底部互跳：服务介绍视图底部提供两个导航按钮：案例介绍、套餐介绍。点击后切换到对应视图，方便用户快速跳转查看。其余两个视图底部同样放置两个指向"另外两个"视图的按钮，形成互跳闭环，即每个视图底部都展示另外两个视图的入口。需同步更新顶部tab的状态
4、案例介绍：案例以竖向列表排布，每一个案例是一张可点击卡片，整个卡片都是可点击区域，卡片包含查看案例详情字样，点击后跳转案例详情页。案例图片、文字、标签、顺序由后台配置
5、案例详情页：详情页为独立全屏页面，内容由后台配置，详情页底部固定悬浮按钮"我也要做"。点击后应在当前详情页之上直接弹出立即预约弹窗
6、套餐介绍：套餐以竖向卡片列表展示，推荐套餐卡片顶部以通栏横幅标识"推荐"，整个卡片都是可点击区域，卡片包含查看案例详情字样，内容和顺序由后台配置。套餐下方显示常见问题，手风琴样式，可同时展开多项查看
7、套餐详情页：点击套餐卡片的"查看详情"进入套餐详情页。详情页内容以套餐示长图呈现
</t>
  </si>
  <si>
    <r>
      <rPr>
        <color indexed="12"/>
        <sz val="11.0"/>
        <rFont val="Calibri"/>
      </rPr>
      <t>小程序-积分签到页面结束模具大赛活动</t>
    </r>
  </si>
  <si>
    <r>
      <rPr>
        <color indexed="12"/>
        <sz val="11.0"/>
        <rFont val="Calibri"/>
      </rPr>
      <t>2026/08/27 12:12:13 GMT+08:00</t>
    </r>
  </si>
  <si>
    <r>
      <rPr>
        <color indexed="12"/>
        <sz val="11.0"/>
        <rFont val="Calibri"/>
      </rPr>
      <t>2026/08/10</t>
    </r>
  </si>
  <si>
    <r>
      <rPr>
        <color indexed="12"/>
        <sz val="11.0"/>
        <rFont val="Calibri"/>
      </rPr>
      <t>2026/08/25</t>
    </r>
  </si>
  <si>
    <r>
      <rPr>
        <color indexed="12"/>
        <sz val="11.0"/>
        <rFont val="Calibri"/>
      </rPr>
      <t>2026/08/10 09:52:35 GMT+08:00</t>
    </r>
  </si>
  <si>
    <t xml:space="preserve">1、页面内容回到原版
</t>
  </si>
  <si>
    <r>
      <rPr>
        <color indexed="12"/>
        <sz val="11.0"/>
        <rFont val="Calibri"/>
      </rPr>
      <t>小程序-积分签到页面适配模具大赛活动</t>
    </r>
  </si>
  <si>
    <r>
      <rPr>
        <color indexed="12"/>
        <sz val="11.0"/>
        <rFont val="Calibri"/>
      </rPr>
      <t>2026/08/12 15:49:51 GMT+08:00</t>
    </r>
  </si>
  <si>
    <r>
      <rPr>
        <color indexed="12"/>
        <sz val="11.0"/>
        <rFont val="Calibri"/>
      </rPr>
      <t>2026/08/12</t>
    </r>
  </si>
  <si>
    <r>
      <rPr>
        <color indexed="12"/>
        <sz val="11.0"/>
        <rFont val="Calibri"/>
      </rPr>
      <t>2026/08/10 09:51:33 GMT+08:00</t>
    </r>
  </si>
  <si>
    <t xml:space="preserve">1、积分签到页面顶部文案“连续签到 为模具设计大赛助力”
2、页面背景添加模具大赛元素内容
</t>
  </si>
  <si>
    <r>
      <rPr>
        <color indexed="12"/>
        <sz val="11.0"/>
        <rFont val="Calibri"/>
      </rPr>
      <t>管理后台-积分数据统计</t>
    </r>
  </si>
  <si>
    <r>
      <rPr>
        <color indexed="12"/>
        <sz val="11.0"/>
        <rFont val="Calibri"/>
      </rPr>
      <t>2026/08/27 12:12:43 GMT+08:00</t>
    </r>
  </si>
  <si>
    <r>
      <rPr>
        <color indexed="12"/>
        <sz val="11.0"/>
        <rFont val="Calibri"/>
      </rPr>
      <t>2026/08/06 16:30:55 GMT+08:00</t>
    </r>
  </si>
  <si>
    <t xml:space="preserve">
原型图
序号
组件名称
功能描述
备注
1
数据统计
1、入口：积分管理-积分数据统计
2、筛选栏：时间、板块
3、时间：必填，截止日期最多可选至昨天。默认为昨天的数据
4、板块：单选下拉框，全平台数据（默认）、铸问相关 、超云相关
5、页面内容：包含概览卡片、每日明细列表、积分获取分布列表、积分消耗列表
6、导出excel：点击按钮，根据筛选栏的日期范围和板块，导出每日明细、积分获取、积分消耗三个sheet，每日明细的操作列不导出，文件名称为“积分数据统计_{板块标签}_{起始YYYYMMDD}_{结束YYYYMMDD}”
页面数据（概览卡片、每日明细表、积分获取/消耗途径分布）的数据都跟随页面筛选栏的时间和板块联动同步更新
2
概览卡片
1、卡片：包含总派发积分、总消耗积分
2、副标题：显示{n}次获取、{m}次消耗
3
每日明细表
1、列表项：日期 / 获取积分 / 消耗积分 / 获取次数 / 消耗次数 / 去重用户数 / 操作
2、排序：默认按日期倒序排列，获取积分和消耗积分列可点击排序
3、操作-查看明细：点击后打开积分明细弹窗，弹窗标题“积分明细-XXXX年XX月XX日”
弹窗列表项为“用户名称 / 获取积分 / 获取次数 / 消耗积分 / 消耗次数”，显示该日去重用户的积分信息
排名按获取积分降序排列，同积分按用户名称首字母排序，获取积分和消耗积分列可点击排序。
可按用户名称筛选，根据筛选栏的内容导出excel可导出积分明细内容，文件名称为“积分明细_{YYYY}年{MM}月{DD}日”
4
积分获取/消耗途径分布
1、列表项：途径 / 总积分 / 次数 / 占比（保留一位小数）
2、排序：按占比降序排列，同比列按途径名称首字母排序。总积分列可点击排序
</t>
  </si>
  <si>
    <r>
      <rPr>
        <color indexed="12"/>
        <sz val="11.0"/>
        <rFont val="Calibri"/>
      </rPr>
      <t>小程序-推荐内容和专栏样式调整</t>
    </r>
  </si>
  <si>
    <r>
      <rPr>
        <color indexed="12"/>
        <sz val="11.0"/>
        <rFont val="Calibri"/>
      </rPr>
      <t>2026/08/27 12:12:06 GMT+08:00</t>
    </r>
  </si>
  <si>
    <r>
      <rPr>
        <color indexed="12"/>
        <sz val="11.0"/>
        <rFont val="Calibri"/>
      </rPr>
      <t>2026/08/04 18:46:09 GMT+08:00</t>
    </r>
  </si>
  <si>
    <t xml:space="preserve">
原型图
序号
组件名称
功能描述
备注
修改前
修改后
1
推荐内容
1、  首页推荐内容除推荐关注外，其余类型的推荐可直接通过点击卡片除关闭按钮附近的其余全部区域，进入查看详情。把原来的“查看详情”按钮删除
2、瀑布流和列表形式一同更改
原型图
序号
组件名称
功能描述
备注
回顾期/结束
1
推荐内容
1、  互动专栏在预热期、回顾期或结束阶段能继续点赞和转发
</t>
  </si>
  <si>
    <r>
      <rPr>
        <color indexed="12"/>
        <sz val="11.0"/>
        <rFont val="Calibri"/>
      </rPr>
      <t>管理后台-用户禁言管理和筛选校验优化</t>
    </r>
  </si>
  <si>
    <r>
      <rPr>
        <color indexed="12"/>
        <sz val="11.0"/>
        <rFont val="Calibri"/>
      </rPr>
      <t>2026/08/27 12:12:48 GMT+08:00</t>
    </r>
  </si>
  <si>
    <r>
      <rPr>
        <color indexed="12"/>
        <sz val="11.0"/>
        <rFont val="Calibri"/>
      </rPr>
      <t>2026/07/31 15:23:18 GMT+08:00</t>
    </r>
  </si>
  <si>
    <t xml:space="preserve">
原型图
序号
组件名称
功能描述
备注
1
用户列表
1、用户列表禁言后，在禁言状态的？处，悬浮可查看原因
2、禁言后，专栏、帖子、课程、案例等评论禁用
原型图
序号
组件名称
功能描述
备注
/
1
筛选
1、对管理后台所有筛选栏中的id字段，校验输入内容，如输入非法字符，提示"id只能输入数字"
原型图
序号
组件名称
功能描述
备注
1
/
1、标签名称更改：模流达人 改成 铸问达人
2、涉及页面：后台用户列表的标签、互动专栏嘉宾标签、小程序个人中心、评论区
</t>
  </si>
  <si>
    <r>
      <rPr>
        <color indexed="12"/>
        <sz val="11.0"/>
        <rFont val="Calibri"/>
      </rPr>
      <t>小程序-有问必答等数据埋点分析</t>
    </r>
  </si>
  <si>
    <r>
      <rPr>
        <color indexed="12"/>
        <sz val="11.0"/>
        <rFont val="Calibri"/>
      </rPr>
      <t>2026/08/27 12:12:54 GMT+08:00</t>
    </r>
  </si>
  <si>
    <r>
      <rPr>
        <color indexed="12"/>
        <sz val="11.0"/>
        <rFont val="Calibri"/>
      </rPr>
      <t>2026/07/31 14:34:32 GMT+08:00</t>
    </r>
  </si>
  <si>
    <t xml:space="preserve">注册：用户ID、手机号、注册时间
发帖：帖子标题、帖子ID、用户名称、用户ID、发布时间、帖子类型（图文/视频）、是否带投票、是否带文件、是否带推荐卡片
评论：评论id、用户名称、用户ID、评论类型（文字/图片）、评论时间、评论层级（一级/二级）、评论的对象类型（课程/案例/专栏/帖子）、评论的对象ID、评论的对象名称
积分任务获取：任务名称、用户名称、用户ID、完成时间、发放积分
案例复制：案例ID、案例名称、案例标签、案例发布者用户名称、案例发布者用户ID、案例复制用户名称、案例复制用户ID、复制时间、案例积分（免费为0）
参与投票：帖子标题、用户名称、用户ID、帖子ID、投票时间、投票问题、投票选项内容
文件下载：文件名称、文件类型、发布者、发布者ID、用户名称、用户ID、下载时间、帖子标题、帖子ID
功能事件：
点击互动专栏banner 【 预留字段填写专栏名称和嘉宾名称 】
点击首页的推荐内容卡片（课程、案例、头像/关注/私信、礼品）【 预留字段填写课程、案例、用户、礼品的ID和名称 】 
关闭推荐卡片（课程、案例、关注、礼品）【 预留字段填写课程、案例、用户、礼品的ID和名称 】
浏览量：
浏览互动专栏详情 【预留字段填写专栏名称和嘉宾用户名称】
浏览礼品详情页 【预留字段填写礼品名称和礼品积分】
</t>
  </si>
  <si>
    <r>
      <rPr>
        <color indexed="12"/>
        <sz val="11.0"/>
        <rFont val="Calibri"/>
      </rPr>
      <t>小程序-浏览记录和收藏优化</t>
    </r>
  </si>
  <si>
    <r>
      <rPr>
        <color indexed="12"/>
        <sz val="11.0"/>
        <rFont val="Calibri"/>
      </rPr>
      <t>2026/08/27 12:12:59 GMT+08:00</t>
    </r>
  </si>
  <si>
    <r>
      <rPr>
        <color indexed="12"/>
        <sz val="11.0"/>
        <rFont val="Calibri"/>
      </rPr>
      <t>2026/07/31 12:35:44 GMT+08:00</t>
    </r>
  </si>
  <si>
    <t xml:space="preserve">
原型图
序号
组件名称
功能描述
备注
1
浏览记录
1、 当前从浏览记录下的列表，点击任意一项查看返回后，会自动回到列表顶部，改为能记忆进入前的列表位置，返回不会出现内容跳动
原型图
序号
组件名称
功能描述
备注
/
1
收藏列表
1、 收藏的仿真案例列表中，如案例被删除、屏蔽等，不是直接从收藏列表移除，和帖子类似，点击提示案例被屏蔽/删除，不可查看
</t>
  </si>
  <si>
    <r>
      <rPr>
        <color indexed="12"/>
        <sz val="11.0"/>
        <rFont val="Calibri"/>
      </rPr>
      <t>小程序-个人中心信息调整优化</t>
    </r>
  </si>
  <si>
    <r>
      <rPr>
        <color indexed="12"/>
        <sz val="11.0"/>
        <rFont val="Calibri"/>
      </rPr>
      <t>2026/08/27 12:13:04 GMT+08:00</t>
    </r>
  </si>
  <si>
    <r>
      <rPr>
        <color indexed="12"/>
        <sz val="11.0"/>
        <rFont val="Calibri"/>
      </rPr>
      <t>2026/07/31 12:35:11 GMT+08:00</t>
    </r>
  </si>
  <si>
    <t xml:space="preserve">
原型图
序号
组件名称
功能描述
备注
1
个人中心
1、 登录用户：把获赞与收藏数替换，改成“积分”，显示用户的积分值，点击后跳转&lt; 积分商城 &gt;页面
2、未登录用户：积分和粉丝、关注数一样显示“-”，不可点击
0 ≤ n &lt; 10000，原样显示整数
10000 ≤ n，保留 1 位小数，四舍五入，加「万」，小数位为 0 时省略小数点和 0。例：10000 → 1万
</t>
  </si>
  <si>
    <r>
      <rPr>
        <color indexed="12"/>
        <sz val="11.0"/>
        <rFont val="Calibri"/>
      </rPr>
      <t>小程序-评论数量与后台同步</t>
    </r>
  </si>
  <si>
    <r>
      <rPr>
        <color indexed="12"/>
        <sz val="11.0"/>
        <rFont val="Calibri"/>
      </rPr>
      <t>2026/08/27 12:13:08 GMT+08:00</t>
    </r>
  </si>
  <si>
    <r>
      <rPr>
        <color indexed="12"/>
        <sz val="11.0"/>
        <rFont val="Calibri"/>
      </rPr>
      <t>2026/07/31 10:11:52 GMT+08:00</t>
    </r>
  </si>
  <si>
    <t xml:space="preserve">   
原型图
序号
组件名称
功能描述
备注
/
1
评论
1、帖子评论（一、二级）删除/屏蔽后，小程序页面的评论数需要同步更新，若一级评论删除/屏蔽后，注意把其下相关的二级评论数量一并计入
2、同步检查案例、课程、专栏的评论情况
</t>
  </si>
  <si>
    <r>
      <rPr>
        <color indexed="12"/>
        <sz val="11.0"/>
        <rFont val="Calibri"/>
      </rPr>
      <t>小程序-积分商城页面风格优化</t>
    </r>
  </si>
  <si>
    <r>
      <rPr>
        <color indexed="12"/>
        <sz val="11.0"/>
        <rFont val="Calibri"/>
      </rPr>
      <t>2026/08/27 12:13:13 GMT+08:00</t>
    </r>
  </si>
  <si>
    <r>
      <rPr>
        <color indexed="12"/>
        <sz val="11.0"/>
        <rFont val="Calibri"/>
      </rPr>
      <t>2026/07/29 17:59:04 GMT+08:00</t>
    </r>
  </si>
  <si>
    <t xml:space="preserve">
原型图
序号
组件名称
功能描述
备注
1
/
1、整体风格统一：积分商城所有页面（商城首页、礼品列表页、礼品详情页、兑换记录页、积分明细页等）采用统一的视觉设计语言 ，包括配色方案、字体规范、图标风格、间距规则保持一致 ，整体呈现出完整的「商城」氛围。
</t>
  </si>
  <si>
    <r>
      <rPr>
        <color indexed="12"/>
        <sz val="11.0"/>
        <rFont val="Calibri"/>
      </rPr>
      <t>小程序-积分商城首页增加活动</t>
    </r>
  </si>
  <si>
    <r>
      <rPr>
        <color indexed="12"/>
        <sz val="11.0"/>
        <rFont val="Calibri"/>
      </rPr>
      <t>2026/08/27 12:13:17 GMT+08:00</t>
    </r>
  </si>
  <si>
    <r>
      <rPr>
        <color indexed="12"/>
        <sz val="11.0"/>
        <rFont val="Calibri"/>
      </rPr>
      <t>2026/07/29 17:29:26 GMT+08:00</t>
    </r>
  </si>
  <si>
    <t xml:space="preserve">
原型图
序号
组件名称
功能描述
备注
1
活动banner
1、入口：商城顶部增加banner区域，活动banner页图片、顺序由后台配置。如后台无配置或显示状态关闭时，banner区域全部隐藏
2、页面：点击banner图，进入活动详情页，详情页的长图、下方的礼品列表和顺序由后台配置
</t>
  </si>
  <si>
    <r>
      <rPr>
        <color indexed="12"/>
        <sz val="11.0"/>
        <rFont val="Calibri"/>
      </rPr>
      <t>管理后台-积分活动管理</t>
    </r>
  </si>
  <si>
    <r>
      <rPr>
        <color indexed="12"/>
        <sz val="11.0"/>
        <rFont val="Calibri"/>
      </rPr>
      <t>2026/08/27 12:13:22 GMT+08:00</t>
    </r>
  </si>
  <si>
    <r>
      <rPr>
        <color indexed="12"/>
        <sz val="11.0"/>
        <rFont val="Calibri"/>
      </rPr>
      <t>2026/07/29 17:28:53 GMT+08:00</t>
    </r>
  </si>
  <si>
    <t xml:space="preserve"> 
原型图
序号
组件名称
功能描述
备注
1
积分活动管理
1、 入口：积分管理-积分活动管理
2、 列表项：包含排序操作列、活动ID、活动名称、banner图片、活动类型、创建时间、状态、操作列
3、 状态：开关，控制在小程序的露出
4、 排序：按创建时间倒序排列，拖拽左侧的排序图标进行排序，小程序端按排序展示banner。当状态为关闭时，小程序banner不显示。关闭状态不支持拖拽排序，默认排在末尾
6、 操作-编辑：点击后，打开编辑积分活动弹窗
7、 操作-删除：删除二次确认后，从列表移除同步更新小程序端展示状态
2
积分活动弹窗
1、通用字段：
- 活动名称（必填，最多 20 字     8字，为小程序端的活动详情页页面标题  ） 
- 活动类型（必填，下拉：礼品上新 / 活动介绍）
- Banner图片（必填，单张上传）
2、条件字段：
- 活动类型 = 活动介绍 时，显示：
- 活动图片：多图上传（最多 5 张，提示语「不超过5张，png/jpg/jpeg，单张≤5M」）
- 活动类型 = 礼品上新 时，显示：
- 活动图片：同上
- 上新礼品：多选可搜索（最少 1 项、最多 10 项），选中项显示礼品封面图 + 名称 + 积分（可选礼品为礼品列表未下架的礼品，如编辑完成后，在礼品列表下架或删除礼品，把礼品从选项中自动移除）
</t>
  </si>
  <si>
    <r>
      <rPr>
        <color indexed="12"/>
        <sz val="11.0"/>
        <rFont val="Calibri"/>
      </rPr>
      <t>小程序-积分助手增加粉丝达成积分通知</t>
    </r>
  </si>
  <si>
    <r>
      <rPr>
        <color indexed="12"/>
        <sz val="11.0"/>
        <rFont val="Calibri"/>
      </rPr>
      <t>2026/08/27 12:13:28 GMT+08:00</t>
    </r>
  </si>
  <si>
    <r>
      <rPr>
        <color indexed="12"/>
        <sz val="11.0"/>
        <rFont val="Calibri"/>
      </rPr>
      <t>2026/07/29 17:26:26 GMT+08:00</t>
    </r>
  </si>
  <si>
    <t xml:space="preserve">
消息标题
消息内容
操作提示语
触发场景
跳转页面
粉丝目标达成通知
恭喜！您的账号粉丝总数已正式突破 { X }人，为了感谢您对平台的贡献，系统已为您发放奖励{ n }积分！
去积分商城逛逛
粉丝达成发放积分时通知，同一里程碑仅通知一次（掉粉后再涨回不重复通知）
上线前粉丝已达成的不通知
&lt; 积分商城 &gt; 页面
</t>
  </si>
  <si>
    <r>
      <rPr>
        <color indexed="12"/>
        <sz val="11.0"/>
        <rFont val="Calibri"/>
      </rPr>
      <t>小程序-积分获取补充粉丝达成任务</t>
    </r>
  </si>
  <si>
    <r>
      <rPr>
        <color indexed="12"/>
        <sz val="11.0"/>
        <rFont val="Calibri"/>
      </rPr>
      <t>2026/08/27 12:13:33 GMT+08:00</t>
    </r>
  </si>
  <si>
    <r>
      <rPr>
        <color indexed="12"/>
        <sz val="11.0"/>
        <rFont val="Calibri"/>
      </rPr>
      <t>2026/07/29 16:41:56 GMT+08:00</t>
    </r>
  </si>
  <si>
    <t xml:space="preserve">
原型图
序号
组件名称
功能描述
备注
1
工具栏
1、入口：在&lt; 积分获取 &gt;页-基础任务的完善资料下，新增[粉丝成长]任务（管理后台-积分规则的粉丝数达成四个规则的可见性改成小程序）
2、标题：仅显示[粉丝成长]，不显示积分值
3、提示语：
进行中：粉丝数：{当前粉丝数}，还差 {差值} 人可得 {下一档积分} 积分
全部完成：里程碑全部达成，累计获得 {粉丝数达成的积分和} 积分
4、节点：粉丝数达成的积分值由后台配置，标注奖励的积分和对应的粉丝数，完成后以“√”表示。进度条按当前区间比例插值填充（差值越小，填充越接近下一节点）
5、限制：当后台把全部粉丝达成相关的任务禁用时，[粉丝成长]任务全部隐藏
</t>
  </si>
  <si>
    <r>
      <rPr>
        <color indexed="12"/>
        <sz val="11.0"/>
        <rFont val="Calibri"/>
      </rPr>
      <t>【需求表单ID:36】管理后台-推荐内容选择支持模糊搜索</t>
    </r>
  </si>
  <si>
    <r>
      <rPr>
        <color indexed="12"/>
        <sz val="11.0"/>
        <rFont val="Calibri"/>
      </rPr>
      <t>2026/08/27 12:13:39 GMT+08:00</t>
    </r>
  </si>
  <si>
    <r>
      <rPr>
        <color indexed="12"/>
        <sz val="11.0"/>
        <rFont val="Calibri"/>
      </rPr>
      <t>2026/07/29 16:28:05 GMT+08:00</t>
    </r>
  </si>
  <si>
    <t xml:space="preserve"> 
原型图
序号
组件名称
功能描述
备注
1
工具栏
1、推荐内容管理-新建或编辑弹窗的“推荐内容名称”的单选下拉框，改成和互动专栏嘉宾类似的支持模糊搜索
以下字段也一并修改
2、课时管理-新增/编辑课时弹窗-“选择课程”字段
3、banner管理-新增/编辑banner弹窗-“选择课程”字段
4、礼品管理-新增/编辑礼品弹窗-“绑定课程”字段
5、抽奖管理-新建/编辑抽奖配置弹窗-“奖品名称”字段
</t>
  </si>
  <si>
    <r>
      <rPr>
        <color indexed="12"/>
        <sz val="11.0"/>
        <rFont val="Calibri"/>
      </rPr>
      <t>管理后台-积分抽奖概率设置优化</t>
    </r>
  </si>
  <si>
    <r>
      <rPr>
        <color indexed="12"/>
        <sz val="11.0"/>
        <rFont val="Calibri"/>
      </rPr>
      <t>2026/08/12 15:48:18 GMT+08:00</t>
    </r>
  </si>
  <si>
    <r>
      <rPr>
        <color indexed="12"/>
        <sz val="11.0"/>
        <rFont val="Calibri"/>
      </rPr>
      <t>2026/07/27</t>
    </r>
  </si>
  <si>
    <r>
      <rPr>
        <color indexed="12"/>
        <sz val="11.0"/>
        <rFont val="Calibri"/>
      </rPr>
      <t>2026/08/11</t>
    </r>
  </si>
  <si>
    <r>
      <rPr>
        <color indexed="12"/>
        <sz val="11.0"/>
        <rFont val="Calibri"/>
      </rPr>
      <t>2026/07/20 15:31:43 GMT+08:00</t>
    </r>
  </si>
  <si>
    <t xml:space="preserve">   
原型图
序号
组件名称
功能描述
备注
/
1
抽奖配置
1、  抽奖概率值：概率为整数改为支持两位小数，总和100.00%，允许为0.00%
</t>
  </si>
  <si>
    <r>
      <rPr>
        <color indexed="12"/>
        <sz val="11.0"/>
        <rFont val="Calibri"/>
      </rPr>
      <t>小程序-课程下架同步更新推荐内容和礼品信息</t>
    </r>
  </si>
  <si>
    <r>
      <rPr>
        <color indexed="12"/>
        <sz val="11.0"/>
        <rFont val="Calibri"/>
      </rPr>
      <t>2026/08/12 15:48:23 GMT+08:00</t>
    </r>
  </si>
  <si>
    <r>
      <rPr>
        <color indexed="12"/>
        <sz val="11.0"/>
        <rFont val="Calibri"/>
      </rPr>
      <t>2026/07/17 18:55:20 GMT+08:00</t>
    </r>
  </si>
  <si>
    <t xml:space="preserve"> 
原型图
序号
组件名称
功能描述
备注
/
1
课程
1、课程下架或删除后，绑定该课程的礼品自动下架处理。当课程重新上架时，才可设置礼品上架，否则编辑礼品上架时，toast提示“关联课程已下架或删除，请先检查课程状态”
2、推荐内容管理列表下，当课程/礼品/案例/用户，被屏蔽或者删除时，列表删除这些推荐内容项
</t>
  </si>
  <si>
    <r>
      <rPr>
        <color indexed="12"/>
        <sz val="11.0"/>
        <rFont val="Calibri"/>
      </rPr>
      <t>小程序-热门推荐和排行榜埋点统计分析</t>
    </r>
  </si>
  <si>
    <r>
      <rPr>
        <color indexed="12"/>
        <sz val="11.0"/>
        <rFont val="Calibri"/>
      </rPr>
      <t>2026/08/12 15:48:28 GMT+08:00</t>
    </r>
  </si>
  <si>
    <r>
      <rPr>
        <color indexed="12"/>
        <sz val="11.0"/>
        <rFont val="Calibri"/>
      </rPr>
      <t>2026/07/17 09:57:20 GMT+08:00</t>
    </r>
  </si>
  <si>
    <t xml:space="preserve">榜单页面：
1、榜单页面浏览量（用户ID、页面名称、浏览时间、时长）
2、切换 Tab（总榜、月榜、周榜）动作
3、点击排行榜获取积分按钮
热门推荐
1、滑动热门推荐横向滚动条
2、点击热门礼品（礼品名称、礼品积分）
</t>
  </si>
  <si>
    <r>
      <rPr>
        <color indexed="12"/>
        <sz val="11.0"/>
        <rFont val="Calibri"/>
      </rPr>
      <t>小程序-积分商城增加热门推荐和榜单</t>
    </r>
  </si>
  <si>
    <r>
      <rPr>
        <color indexed="12"/>
        <sz val="11.0"/>
        <rFont val="Calibri"/>
      </rPr>
      <t>2026/08/12 15:48:33 GMT+08:00</t>
    </r>
  </si>
  <si>
    <r>
      <rPr>
        <color indexed="12"/>
        <sz val="11.0"/>
        <rFont val="Calibri"/>
      </rPr>
      <t>2026/07/17 09:54:58 GMT+08:00</t>
    </r>
  </si>
  <si>
    <t xml:space="preserve">
原型图
序号
组件名称
功能描述
备注
1
积分商城
1、  在仪表盘右侧增加一个“积分榜单”的按钮，点击进入&lt; 积分榜单 &gt;页面
2、在礼品列表和我的积分卡片中，增加“热门推荐”的礼品列表，横向加载，左右滑动。热门礼品项和排序由后台配置
热门推荐卡片增加“热门”标签
</t>
  </si>
  <si>
    <r>
      <rPr>
        <color indexed="12"/>
        <sz val="11.0"/>
        <rFont val="Calibri"/>
      </rPr>
      <t>管理后台-积分礼品管理-查看和设置热门推荐</t>
    </r>
  </si>
  <si>
    <r>
      <rPr>
        <color indexed="12"/>
        <sz val="11.0"/>
        <rFont val="Calibri"/>
      </rPr>
      <t>2026/08/12 15:48:39 GMT+08:00</t>
    </r>
  </si>
  <si>
    <r>
      <rPr>
        <color indexed="12"/>
        <sz val="11.0"/>
        <rFont val="Calibri"/>
      </rPr>
      <t>2026/07/16 11:16:37 GMT+08:00</t>
    </r>
  </si>
  <si>
    <t xml:space="preserve">
原型图
序号
组件名称
功能描述
备注
1
礼品管理
1、热门状态：礼品管理列表的操作列前，增加“热门状态”列。开表示出现在小程序热门推荐，关则反之
2、默认状态：新建时默认为非热门状态
3、数量：3-10个。热门礼品为3个时，点击关闭提示“热门推荐数量不能少于3个”，热门礼品为10个时，点击开启提示“热门推荐数量已达上限”
4、初始化：兑换量最多且已上架的5个礼品（兑换数量相同时选创建时间最近）
5、限制：
a、下架礼品热门状态始终为关，不可点击切换
b、当礼品被下架或删除时，自动将热门状态关闭
c、如热门礼品被下架或删除到少于3个时，小程序的热门推荐区域隐藏
2
热门推荐
1、操作：点击热门推荐按钮，打开弹窗，拖拽第一列的排序按钮可设置推荐顺序
2、初始化排序：兑换量倒序排序，兑换量相同按创建时间倒序排列
3、新增排序：新设置的热门礼品默认排在推荐列表的最前面
管理后台-用户的积分详情弹窗，途径为后台充值或扣除积分时，弹窗的备注列需同步显示变更时填写的备注内容
</t>
  </si>
  <si>
    <r>
      <rPr>
        <color indexed="12"/>
        <sz val="11.0"/>
        <rFont val="Calibri"/>
      </rPr>
      <t>小程序-互动专栏增加时间信息</t>
    </r>
  </si>
  <si>
    <r>
      <rPr>
        <color indexed="12"/>
        <sz val="11.0"/>
        <rFont val="Calibri"/>
      </rPr>
      <t>2026/08/12 15:48:45 GMT+08:00</t>
    </r>
  </si>
  <si>
    <r>
      <rPr>
        <color indexed="12"/>
        <sz val="11.0"/>
        <rFont val="Calibri"/>
      </rPr>
      <t>2026/07/16 10:03:12 GMT+08:00</t>
    </r>
  </si>
  <si>
    <t xml:space="preserve"> 
原型图
序号
组件名称
功能描述
备注
1
互动专栏
1、  为在各阶段更清晰了解专栏的互动时间，在专栏的标题下方显示：“互动时间：YYYY年MM月DD日-YYYY年MM月DD日”
2、结束阶段的互动专栏改为与回顾期的页面、操作交互限制相同
</t>
  </si>
  <si>
    <r>
      <rPr>
        <color indexed="12"/>
        <sz val="11.0"/>
        <rFont val="Calibri"/>
      </rPr>
      <t>小程序-话题详情页布局优化</t>
    </r>
  </si>
  <si>
    <r>
      <rPr>
        <color indexed="12"/>
        <sz val="11.0"/>
        <rFont val="Calibri"/>
      </rPr>
      <t>2026/08/12 15:48:50 GMT+08:00</t>
    </r>
  </si>
  <si>
    <r>
      <rPr>
        <color indexed="12"/>
        <sz val="11.0"/>
        <rFont val="Calibri"/>
      </rPr>
      <t>2026/07/16 10:00:23 GMT+08:00</t>
    </r>
  </si>
  <si>
    <t xml:space="preserve">   
原型图
序号
组件名称
功能描述
备注
1
话题详情页
1、话题详情页顶部导航栏冻结显示，不随屏幕滚动
2、 “全部回答”删除，切换形式按钮移至排序栏
</t>
  </si>
  <si>
    <r>
      <rPr>
        <color indexed="12"/>
        <sz val="11.0"/>
        <rFont val="Calibri"/>
      </rPr>
      <t>管理后台-榜单统计管理</t>
    </r>
  </si>
  <si>
    <r>
      <rPr>
        <color indexed="12"/>
        <sz val="11.0"/>
        <rFont val="Calibri"/>
      </rPr>
      <t>2026/08/12 15:48:55 GMT+08:00</t>
    </r>
  </si>
  <si>
    <r>
      <rPr>
        <color indexed="12"/>
        <sz val="11.0"/>
        <rFont val="Calibri"/>
      </rPr>
      <t>2026/07/16 09:50:25 GMT+08:00</t>
    </r>
  </si>
  <si>
    <t xml:space="preserve">
原型图
序号
组件名称
功能描述
备注
1
榜单统计管理
1、入口：积分管理-榜单统计管理
2、页面：总榜（默认）、月榜、周榜，显示全部用户的排名数据。切换tab重置筛选条件
3、列表项：排名、用户ID、用户名称、总积分、操作列
4、积分详情：点击积分详情，打开用户积分详情弹窗，弹窗形式内容和用户列表的积分明细相同
5、筛选项：可按用户ID和用户名称查询
6、导出：点击“导出excel”按钮，导出当前tab和筛选后的除操作列的全部列表数据，名称分别为“积分排名-总榜”、“{YYYY年MM月}积分排名-月榜”、“{周一日期} 至{周日日期}积分排名-周榜”
2
月榜和周榜
1、筛选项增加月度/周度信息
2、月度和周度：可选当前月/周之前信息，默认为当前月/周
3、列表增加月积分/周积分列
4、积分详情：在积分弹窗下的筛选栏显示列表表示的月度/周的仅读信息（月：YYYY年MM月；周：YYYY年MM月DD日-YYYY年MM月DD日），用于提示当前积分明细的范围。因积分榜单的月/周积分排名是按获得总积分排名，所以筛选栏的类型字段移除，明细表仅展示获得的积分。在筛选栏下方备注信息：“注：周度/月度的积分明细，只统计当周/当月获取类型的积分数据”
</t>
  </si>
  <si>
    <r>
      <rPr>
        <color indexed="12"/>
        <sz val="11.0"/>
        <rFont val="Calibri"/>
      </rPr>
      <t>小程序-仿真案例数据结果分类同步更新</t>
    </r>
  </si>
  <si>
    <r>
      <rPr>
        <color indexed="12"/>
        <sz val="11.0"/>
        <rFont val="Calibri"/>
      </rPr>
      <t>2026/07/30 17:14:05 GMT+08:00</t>
    </r>
  </si>
  <si>
    <r>
      <rPr>
        <color indexed="12"/>
        <sz val="11.0"/>
        <rFont val="Calibri"/>
      </rPr>
      <t>2026/07/06</t>
    </r>
  </si>
  <si>
    <r>
      <rPr>
        <color indexed="12"/>
        <sz val="11.0"/>
        <rFont val="Calibri"/>
      </rPr>
      <t>2026/07/29</t>
    </r>
  </si>
  <si>
    <r>
      <rPr>
        <color indexed="12"/>
        <sz val="11.0"/>
        <rFont val="Calibri"/>
      </rPr>
      <t>2026/07/14 16:34:44 GMT+08:00</t>
    </r>
  </si>
  <si>
    <t xml:space="preserve">
同步超云结果分类，把二次枝晶臂间距、晶粒度、单轴抗拉强度、延伸率、屈服强度的结果从其他分类中移出，单独分为新的一类“组织性能结果”
</t>
  </si>
  <si>
    <r>
      <rPr>
        <color indexed="12"/>
        <sz val="11.0"/>
        <rFont val="Calibri"/>
      </rPr>
      <t>【需求表单ID:36】互动专栏评论区交互优化</t>
    </r>
  </si>
  <si>
    <r>
      <rPr>
        <color indexed="12"/>
        <sz val="11.0"/>
        <rFont val="Calibri"/>
      </rPr>
      <t>2026/07/30 17:14:12 GMT+08:00</t>
    </r>
  </si>
  <si>
    <r>
      <rPr>
        <color indexed="12"/>
        <sz val="11.0"/>
        <rFont val="Calibri"/>
      </rPr>
      <t>2026/07/14 14:35:25 GMT+08:00</t>
    </r>
  </si>
  <si>
    <t xml:space="preserve">1、回顾期和结束状态的专栏评论区，由原来的评论区全部按钮交互禁止改为：
    a、隐藏“回复”按钮，不允许点击评论回复
    b、保留“点赞”按钮功能，可继续点赞
    c、保留“ 展开回答 ”按钮功能，可查看全部评论
2、如回顾期和结束状态的专栏评论数量为0，整个评论区全部隐藏
</t>
  </si>
  <si>
    <r>
      <rPr>
        <color indexed="12"/>
        <sz val="11.0"/>
        <rFont val="Calibri"/>
      </rPr>
      <t>小程序-文件下载浏览和下载进度条优化</t>
    </r>
  </si>
  <si>
    <r>
      <rPr>
        <color indexed="12"/>
        <sz val="11.0"/>
        <rFont val="Calibri"/>
      </rPr>
      <t>2026/07/30 17:14:16 GMT+08:00</t>
    </r>
  </si>
  <si>
    <r>
      <rPr>
        <color indexed="12"/>
        <sz val="11.0"/>
        <rFont val="Calibri"/>
      </rPr>
      <t>2026/07/13 10:16:09 GMT+08:00</t>
    </r>
  </si>
  <si>
    <t xml:space="preserve">进度条优化：
当文件大小&lt; 10 MB时，在下载完成后，延时800ms，正常显示进度
大于等于10 MB时，显示进度
 在已关注作者时，点击下载文件后，在进入浏览页面前不要滑动到顶部，从浏览页面回到帖子页时，也不要滑动到顶部
电脑端已关注作者时，无需滑动至帖子顶部
文件下载中，返回其他页面、退出小程序等操作后，中断下载，避免出现进入其他页面还在下载完成后跳转文件预览页面
</t>
  </si>
  <si>
    <r>
      <rPr>
        <color indexed="12"/>
        <sz val="11.0"/>
        <rFont val="Calibri"/>
      </rPr>
      <t>小程序-积分榜单</t>
    </r>
  </si>
  <si>
    <r>
      <rPr>
        <color indexed="12"/>
        <sz val="11.0"/>
        <rFont val="Calibri"/>
      </rPr>
      <t>2026/08/12 15:49:01 GMT+08:00</t>
    </r>
  </si>
  <si>
    <r>
      <rPr>
        <color indexed="12"/>
        <sz val="11.0"/>
        <rFont val="Calibri"/>
      </rPr>
      <t>2026/07/10 11:40:20 GMT+08:00</t>
    </r>
  </si>
  <si>
    <t xml:space="preserve">
原型图
序号
组件名称
功能描述
备注
1
积分榜单
1、积分榜单：分为总榜(默认)、月榜、周榜，分别表示累计积分、当月积分、当周积分排名
2、领奖台：积分排名前3的在顶部显示，头像、名称和积分值，点击头像进入主页
3、列表：显示前十位用户的头像、名称、积分值，点击头像进入主页（存在积分相同的用户，为避免并列用户被截断，将第十位相同分的全部展示出来，榜单最终展示人数 ≥ 10 人）
4、底部固定栏：始终展示当前登录用户的排名与积分，点击「获取积分」按钮跳转&lt; 积分获取 &gt;页
5、统计规则：
总榜：统计实际积分值（历史获取积分总和 - 历史兑换消耗积分总和）
月榜：统计当月内所有积分获取记录之和（只计获取，不计兑换扣减），自然月，当月 1 日 00:00:00 至当时期间获取的积分，每月 1 日 00:00:00 清零上月数据，重新开始统计当月积分
周榜：当周内所有积分获取记录之和（只计获取，不计兑换扣减），自然周，当周周一 00:00:00 至当时期间获取的积分，每周一 00:00:00 清零上周数据，重新开始统计当周积分
6、显示：
a、积分相同的用户显示相同名次，下一名次跳号(1\2\2\4）
b、积分相同时，先达到该积分的用户排前即最后获取积分时间更早者排前
c、前三名出现并列时，领奖台展示并列名次（高度一样，颜色一样）
d、用户在榜单前 10 名内，榜单中用户名称和积分高亮
e、用户积分为 0，排名显示「—」，不进入排名列表
f、月榜周榜刚开始阶段，积分全为0时，页面显示“新的月/周积分排名开始了，快去抢先赚积分！”；1-3位时，领奖台正常显示，空的领奖位显示“虚位以待”，列表隐藏；4-10位时，领奖台和列表正常显示，列表中空的位置显示“虚位以待”
g、在总/月/榜分段控制器下显示数据源的更新时间：“数据更新于YYYY年MM月DD日 HH:MM:SS”
</t>
  </si>
  <si>
    <r>
      <rPr>
        <color indexed="12"/>
        <sz val="11.0"/>
        <rFont val="Calibri"/>
      </rPr>
      <t>管理后台-推荐关注和互动专栏统一管理</t>
    </r>
  </si>
  <si>
    <r>
      <rPr>
        <color indexed="12"/>
        <sz val="11.0"/>
        <rFont val="Calibri"/>
      </rPr>
      <t>2026/08/12 15:49:06 GMT+08:00</t>
    </r>
  </si>
  <si>
    <r>
      <rPr>
        <color indexed="12"/>
        <sz val="11.0"/>
        <rFont val="Calibri"/>
      </rPr>
      <t>2026/07/10 11:37:52 GMT+08:00</t>
    </r>
  </si>
  <si>
    <t xml:space="preserve">
原型图
序号
组件名称
功能描述
备注
1
【零件详情】
1、入口：系统管理-首页内容管理。把系统管理下的推荐关注和互动专栏管理页面合为一个“首页内容管理”，通过tab区分互动专栏和推荐关注，tab下的内容数据列表、筛选条件、分页应相互独立
2、首页展示组件：单选按钮组包含互动专栏和推荐关注，默认互动专栏。点击切换时，提示“确定切换小程序首页展示组件吗？”二次确认后完成切换
3、规则：
当展示组件为互动专栏时：
显示处于预热期、互动期和回顾期且显示状态为开启的互动专栏，如无则不显示专栏；
当展示组件为推荐关注时：
按推送状态显示
删除原互动专栏优先的规则
[用户进入小程序首页]
│
▼
[请求获取"首页展示组件"配置]
│
├─► 配置为【互动专栏】(默认)
│ │
│ ▼
│ [请求互动专栏数据 (过滤: 预热/互动/回顾期且显示状态为开启)]
│ │
│ ├─► 有数据 ──► 渲染互动专栏组件
│ │
│ └─► 无数据 ──► 隐藏该组件区域
│
└─► 配置为【推荐关注】
│
▼
[请求推荐账号数据 (过滤: 指定推送状态)]
│
├─► 有数据 ──► 渲染推荐关注组件
│
└─► 无数据 ──► 隐藏该组件区域
</t>
  </si>
  <si>
    <r>
      <rPr>
        <color indexed="12"/>
        <sz val="11.0"/>
        <rFont val="Calibri"/>
      </rPr>
      <t>【需求表单ID:37】管理后台-互动专栏支持屏蔽操作</t>
    </r>
  </si>
  <si>
    <r>
      <rPr>
        <color indexed="12"/>
        <sz val="11.0"/>
        <rFont val="Calibri"/>
      </rPr>
      <t>2026/08/12 15:49:11 GMT+08:00</t>
    </r>
  </si>
  <si>
    <r>
      <rPr>
        <color indexed="12"/>
        <sz val="11.0"/>
        <rFont val="Calibri"/>
      </rPr>
      <t>2026/07/10 11:37:06 GMT+08:00</t>
    </r>
  </si>
  <si>
    <t xml:space="preserve">
原型图
序号
组件名称
功能描述
备注
1
专栏管理
1、变更：原“状态”列名称改为“阶段”，需同步更改筛选栏的名称
2、显示状态：在阶段列后面增加“显示状态”列，默认创建时为开启状态。关闭表示该专栏不显示在小程序首页或历史专栏列表
3、专栏编辑时，三个阶段的banner图片取消随时间限制编辑，任意时刻打开编辑弹窗都支持删除操作
</t>
  </si>
  <si>
    <r>
      <rPr>
        <color indexed="12"/>
        <sz val="11.0"/>
        <rFont val="Calibri"/>
      </rPr>
      <t>【迭代18延期需求】小程序-专栏列表</t>
    </r>
  </si>
  <si>
    <r>
      <rPr>
        <color indexed="12"/>
        <sz val="11.0"/>
        <rFont val="Calibri"/>
      </rPr>
      <t>2026/08/27 12:13:44 GMT+08:00</t>
    </r>
  </si>
  <si>
    <r>
      <rPr>
        <color indexed="12"/>
        <sz val="11.0"/>
        <rFont val="Calibri"/>
      </rPr>
      <t>2026/08/07</t>
    </r>
  </si>
  <si>
    <r>
      <rPr>
        <color indexed="12"/>
        <sz val="11.0"/>
        <rFont val="Calibri"/>
      </rPr>
      <t>2026/07/10 11:36:25 GMT+08:00</t>
    </r>
  </si>
  <si>
    <t xml:space="preserve">
原型图
序号
组件名称
功能描述
备注
1
专栏页
1、入口：在学习中心下，课程和压铸百科之间增加一栏“专栏”
2、页面内容：分为“热门专栏”和“往期专栏”
3、热门专栏：显示状态开启且为预热期或互动期的专栏，为空时，整个热门专栏隐藏
4、往期专栏：显示状态开启且为回顾期或结束阶段的专栏，为空时，整个往期专栏隐藏
5、排序：热门和往期排序由后台配置
6、专栏卡片：由当前阶段的banner图（结束阶段显示回顾期的banner图）、专栏名称、嘉宾卡片（样式和操作逻辑与专栏内的嘉宾卡片类似，包含头像、名称、身份标签、关注/私信按钮）组成。点击后进入专栏的详情页面
当热门和往期均为空时，整个专栏页面和tab隐藏
</t>
  </si>
  <si>
    <r>
      <rPr>
        <color indexed="12"/>
        <sz val="11.0"/>
        <rFont val="Calibri"/>
      </rPr>
      <t>小程序-互动专栏正文图片可点击查看大图</t>
    </r>
  </si>
  <si>
    <r>
      <rPr>
        <color indexed="12"/>
        <sz val="11.0"/>
        <rFont val="Calibri"/>
      </rPr>
      <t>2026/07/17 09:49:21 GMT+08:00</t>
    </r>
  </si>
  <si>
    <r>
      <rPr>
        <color indexed="12"/>
        <sz val="11.0"/>
        <rFont val="Calibri"/>
      </rPr>
      <t>2026/06/22</t>
    </r>
  </si>
  <si>
    <r>
      <rPr>
        <color indexed="12"/>
        <sz val="11.0"/>
        <rFont val="Calibri"/>
      </rPr>
      <t>2026/07/15</t>
    </r>
  </si>
  <si>
    <r>
      <rPr>
        <color indexed="12"/>
        <sz val="11.0"/>
        <rFont val="Calibri"/>
      </rPr>
      <t>2026/07/08 16:02:49 GMT+08:00</t>
    </r>
  </si>
  <si>
    <t xml:space="preserve"> 互动专栏目前图片不能查看大图，增加点击图片查看全图的功能
</t>
  </si>
  <si>
    <r>
      <rPr>
        <color indexed="12"/>
        <sz val="11.0"/>
        <rFont val="Calibri"/>
      </rPr>
      <t>小程序-浏览量和功能事件埋点数据分析</t>
    </r>
  </si>
  <si>
    <r>
      <rPr>
        <color indexed="12"/>
        <sz val="11.0"/>
        <rFont val="Calibri"/>
      </rPr>
      <t>2026/07/30 17:14:20 GMT+08:00</t>
    </r>
  </si>
  <si>
    <r>
      <rPr>
        <color indexed="12"/>
        <sz val="11.0"/>
        <rFont val="Calibri"/>
      </rPr>
      <t>2026/07/03 15:55:01 GMT+08:00</t>
    </r>
  </si>
  <si>
    <t xml:space="preserve">1、浏览量：积分商城首页、积分各礼品详情页、抽奖页、积分明细页、积分获取页
2、功能事件：个人中心页点击积分商城、个人中心点击签到、积分获取点击具体各任务的去完成、点击AI助手图标、向AI助手发送提问、AI助手页点击预设问题
</t>
  </si>
  <si>
    <r>
      <rPr>
        <color indexed="12"/>
        <sz val="11.0"/>
        <rFont val="Calibri"/>
      </rPr>
      <t>小程序-积分规则、用户协议同步更新</t>
    </r>
  </si>
  <si>
    <r>
      <rPr>
        <color indexed="12"/>
        <sz val="11.0"/>
        <rFont val="Calibri"/>
      </rPr>
      <t>2026/07/30 17:14:25 GMT+08:00</t>
    </r>
  </si>
  <si>
    <r>
      <rPr>
        <color indexed="12"/>
        <sz val="11.0"/>
        <rFont val="Calibri"/>
      </rPr>
      <t>2026/06/26 10:59:12 GMT+08:00</t>
    </r>
  </si>
  <si>
    <t xml:space="preserve">
</t>
  </si>
  <si>
    <r>
      <rPr>
        <color indexed="12"/>
        <sz val="11.0"/>
        <rFont val="Calibri"/>
      </rPr>
      <t>管理后台-分享配置管理</t>
    </r>
  </si>
  <si>
    <r>
      <rPr>
        <color indexed="12"/>
        <sz val="11.0"/>
        <rFont val="Calibri"/>
      </rPr>
      <t>2026/07/30 17:14:30 GMT+08:00</t>
    </r>
  </si>
  <si>
    <r>
      <rPr>
        <color indexed="12"/>
        <sz val="11.0"/>
        <rFont val="Calibri"/>
      </rPr>
      <t>低</t>
    </r>
  </si>
  <si>
    <r>
      <rPr>
        <color indexed="12"/>
        <sz val="11.0"/>
        <rFont val="Calibri"/>
      </rPr>
      <t>2026/06/26 10:56:48 GMT+08:00</t>
    </r>
  </si>
  <si>
    <t xml:space="preserve">
原型图
序号
组件名称
功能描述
备注
1
分享管理
1、 入口：系统管理-分享管理
2、 列表项：包含页面名称、页面类型、分享状态、分享标题、分享图片、操作列
3、 页面名称：有问必答首页、课程首页、积分商城首页、积分详情页、
4、 页面类型：主页面或详情页面，详情页表示对应具体对象的页面，都由标题和内容
5、 分享状态：开启或关闭，默认为开启状态。开关控制小程序前台的分享功能是否打开
6、 分享标题：必填，字数不超过30字符
7、 分享图片：包含自动截图、详情首图和自定义上传，选择自动截图时，表示自动截取页面的上部分作为分享缩略图；选择自定义上传时，必须上传一张固定图作为分享缩略图，限一张，格式为jpg、jpeg、png，大小不超过5M；仅当页面类型为详情页面时，可选择详情首图，表示采用详情对象的第一张图片
8、 操作-编辑：点击编辑按钮，打开分享配置弹窗
2
分享配置
1、 标题：编辑分享配置-{页面名称}
2、 分享标题：
· 页面类型为详情页面：增加分享标题来源字段设置，分为“详情标题”和“自定义标题”，详情标题是指采用详情对象的固有标题（帖子标题/仿真案例标题/课程名称/礼品名称）；选择自定义标题，需定义分享标题（所有详情页共用一个标题）
· 页面类型为主页面：必须自定义标题
3、 分享图片：
· 页面类型为详情页面：包含自动截图、详情首图和自定义上传
· 页面类型为主页面：包含自动截图和自定义上传
页面名称
页面类型
分享标题
分享图片
首页
主页面
铸问-压铸人的有问必答圈子
案例库首页
主页面
真实案例分享，一起玩转仿真案例库!
话题详情页
详情页面
第一行为#话题名称，多余的字符以"...”显示，第二行为“话题热议中，去看看吧”
帖子详情页
详情页面
帖子标题
详情首图
案例详情页
详情页面
案例标题
详情首图
课程详情页
详情页面
课时标题 课程标题
自动截屏 详情首图
积分首页
主页面
积分兑好礼，快来参与吧！
礼品详情页
详情页面
礼品名称
详情首图
积分抽奖页
主页面
抽奖赢好礼，快来试试吧！
签到页
主页面
签到得积分，连续签到可获得额外奖励！
积分获取页
主页面
做任务得积分，快来完成吧！
分享图片比例：宽800 高640
</t>
  </si>
  <si>
    <r>
      <rPr>
        <color indexed="12"/>
        <sz val="11.0"/>
        <rFont val="Calibri"/>
      </rPr>
      <t>小程序-评论为空时文案优化</t>
    </r>
  </si>
  <si>
    <r>
      <rPr>
        <color indexed="12"/>
        <sz val="11.0"/>
        <rFont val="Calibri"/>
      </rPr>
      <t>2026/07/30 17:14:36 GMT+08:00</t>
    </r>
  </si>
  <si>
    <r>
      <rPr>
        <color indexed="12"/>
        <sz val="11.0"/>
        <rFont val="Calibri"/>
      </rPr>
      <t>2026/06/24 16:20:57 GMT+08:00</t>
    </r>
  </si>
  <si>
    <t xml:space="preserve">
原型图
序号
组件名称
功能描述
备注
1
评论文案
1、登录状态下，评论数为0时，评论区文案由“期待你的评论”改为“参与评论获取积分”
2、相关页面包含：有问必答帖子、仿真案例详情页、课程（已购用户）、专栏详情页。未购买课程用户，查看评论数为0的课程评论区时，文案和原状态保持一致不修改
</t>
  </si>
  <si>
    <r>
      <rPr>
        <color indexed="12"/>
        <sz val="11.0"/>
        <rFont val="Calibri"/>
      </rPr>
      <t>管理后台-增加积分任务规则</t>
    </r>
  </si>
  <si>
    <r>
      <rPr>
        <color indexed="12"/>
        <sz val="11.0"/>
        <rFont val="Calibri"/>
      </rPr>
      <t>2026/07/30 17:14:46 GMT+08:00</t>
    </r>
  </si>
  <si>
    <r>
      <rPr>
        <color indexed="12"/>
        <sz val="11.0"/>
        <rFont val="Calibri"/>
      </rPr>
      <t>2026/06/24 15:45:54 GMT+08:00</t>
    </r>
  </si>
  <si>
    <t xml:space="preserve">
增加积分规则如表所示：
规则名称
分类
所属模块
可见性（小程序代表出现在积分获取页面）
积分
次数
每日上限
是否计入每日总上限
备注
积分明细信息
管理后台-用户列表-详情-积分明细-备注信息
关注用户
每日
有问必答
后台
10
3
30
是
关注某用户后，3日内取消关注，扣除积分
关注用户后取关后继续关注，不计积分，即关注同一用户只计一次
用户名称
用户ID
参与投票
每日
有问必答
后台
10
1
10
是
参与一篇帖子就计分，3天内取消投票扣分
帖子名称
帖子ID
带话题发帖
每日
有问必答
后台
10
1
10
是
新帖才计入，对已有帖编辑不计分。发布三十日内删除话题、删除该帖子取消积分；跟发帖获取积分次数无关，即每日发帖前3篇有积分，前3篇都不带话题，第5次发帖带话题，此时会计上该任务积分
帖子名称
帖子ID
带地点发帖
每日
有问必答
后台
10
1
10
是
新帖才计入，对已有帖编辑不计分。发布三十日内删除地点、删除该帖子取消积分；跟发帖获取积分次数无关，即每日发帖前3篇有积分，前3篇都不带地点，第5次发帖带地点，此时会计上该任务积分
帖子名称
帖子ID
复制案例
每日
案例库
小程序
10
1
10
是
免费/付费复制案例都计分
案例名称
案例ID
点赞专栏
每日
专栏
后台
10
1
10
是
3天内取消赞会被扣除
专栏名称
专栏ID
评论案例
每日
案例库
后台
20
1
20
是
3天内删除评论扣除相应积分
案例名称
案例ID
评论专栏
每日
专栏
后台
20
1
20
是
3天内删除评论扣除相应积分
专栏名称
专栏ID
取消关注
每日
有问必答
后台
-10
不支持禁用、编辑操作
用户名称
用户ID
删除带地点帖子
每日
有问必答
后台
-10
不支持禁用、编辑操作
帖子名称
帖子ID
删除带评论帖子
每日
有问必答
后台
-10
不支持禁用、编辑操作
帖子名称
帖子ID
删除案例评论
每日
案例库
后台
-20
不支持禁用、编辑操作
案例名称
案例ID
删除专栏评论
每日
专栏
后台
-20
不支持禁用、编辑操作
专栏名称
专栏ID
取消专栏点赞
每日
专栏
后台
-10
不支持禁用、编辑操作
专栏名称
专栏ID
取消投票
每日
有问必答
后台
-10
不支持禁用、编辑操作
帖子名称
帖子ID
评论课程
每日
课程
后台
3天内删除评论扣除相应积分
课程名称
课程ID
删除课程评论
每日
课程
后台
不支持禁用、编辑操作
课程名称
课程ID
任务完成后的提示语：
任务类型
反馈提示语
完成标准
复制案例
完成案例复制，获得{n}积分
免费或付费案例完成复制
已有任务的积分明细补充：
规则名称
积分明细信息
管理后台-用户列表-详情-积分明细-备注信息（点击ID查看详情）
浏览帖子
帖子名称
帖子ID
评论帖子
帖子名称
帖子ID
发布帖子
帖子名称
帖子ID
帖子被精选
帖子名称
帖子ID
帖子获赞
帖子名称
帖子ID
案例被复制
案例名称
案例ID
后台充值
变更原因
变更原因
中奖积分奖励
抽奖记录ID
后台扣除
变更原因
变更原因
帖子获赞被取消
帖子名称
帖子ID
删除帖子
帖子名称
帖子ID
删除帖子评论
帖子名称
帖子ID
兑换案例
案例名称
案例ID
兑换礼品
礼品名称
兑换订单ID
参与抽奖
抽奖记录ID
</t>
  </si>
  <si>
    <r>
      <rPr>
        <color indexed="12"/>
        <sz val="11.0"/>
        <rFont val="Calibri"/>
      </rPr>
      <t>小程序-积分获取增加任务</t>
    </r>
  </si>
  <si>
    <r>
      <rPr>
        <color indexed="12"/>
        <sz val="11.0"/>
        <rFont val="Calibri"/>
      </rPr>
      <t>2026/07/30 17:14:52 GMT+08:00</t>
    </r>
  </si>
  <si>
    <r>
      <rPr>
        <color indexed="12"/>
        <sz val="11.0"/>
        <rFont val="Calibri"/>
      </rPr>
      <t>2026/06/24 15:45:29 GMT+08:00</t>
    </r>
  </si>
  <si>
    <t xml:space="preserve">
原型图
序号
组件名称
功能描述
备注
1
复制案例任务
1、增加任务：复制案例
2、规则描述语：“复制任意案例，每日最多获得10积分”
3、积分和次数由后台配置
4、点击去完成后，跳转&lt; 仿真案例库 &gt;首页，显示“返回积分获取”按钮，规则和逻辑与其他任务类似。每日次数已完成后，按钮更新为“已完成”状态
5、小程序用户复制案例完成后，积分明细显示信息“复制案例：{《案例名称》}” ；同时管理后台的用户积分明细内备注列显示案例ID，点击可查看案例详情
6、完成复制案例弹出积分任务完成反馈提示，不再提示、时效等要求同其余任务相同，提示语为“完成复制案例，获得{n}积分”
规则提示语由后台配置
</t>
  </si>
  <si>
    <r>
      <rPr>
        <color indexed="12"/>
        <sz val="11.0"/>
        <rFont val="Calibri"/>
      </rPr>
      <t>管理后台-内容推荐管理</t>
    </r>
  </si>
  <si>
    <r>
      <rPr>
        <color indexed="12"/>
        <sz val="11.0"/>
        <rFont val="Calibri"/>
      </rPr>
      <t>2026/07/30 17:14:58 GMT+08:00</t>
    </r>
  </si>
  <si>
    <r>
      <rPr>
        <color indexed="12"/>
        <sz val="11.0"/>
        <rFont val="Calibri"/>
      </rPr>
      <t>2026/06/24 15:44:10 GMT+08:00</t>
    </r>
  </si>
  <si>
    <t xml:space="preserve">
原型图
序号
组件名称
功能描述
备注
1
推荐管理
1、  入口：系统管理-推荐内容管理
2、  列表项：包含排序操作列、序号、类型、推荐内容名称、图片、状态、创建时间、操作列
3、  序号：按列表顺序1、2、3……编号
4、  类型：包含仿真案例、课程、积分礼品和推荐关注
5、  排序：与互动专栏类似，按创建时间倒序排列，拖拽左侧的排序图标进行排序。当状态为关闭时，首页不显示该内容。关闭状态不支持拖拽排序，默认排在末尾
6、  操作-编辑：点击后，打开编辑互动专栏弹窗，内容与新建类似
7、  操作-删除：点击后，提示“确认删除推荐吗？”二次确认后删除内容，同步更新首页
2
新建推荐
1、 操作：点击新建推荐内容按钮，打开新建推荐内容对话框
2、 推荐内容类型：必填单选下拉选择框，可选项为仿真案例、课程、积分礼品和推荐关注
3、 推荐内容名称：必填单选下拉选择框，可选项为对应类型下所有已公开对象的名称。与已有推荐内容项进行重名校验，重复则提示“已设为推荐，请勿重复添加”
4、 推荐内容图片：根据类型和名称自动带出，仿真案例-案例首图；课程-课程封面图；积分礼品-礼品封面图；推荐关注-用户头像
</t>
  </si>
  <si>
    <r>
      <rPr>
        <color indexed="12"/>
        <sz val="11.0"/>
        <rFont val="Calibri"/>
      </rPr>
      <t>小程序-有问必答首页增加推荐内容展示</t>
    </r>
  </si>
  <si>
    <r>
      <rPr>
        <color indexed="12"/>
        <sz val="11.0"/>
        <rFont val="Calibri"/>
      </rPr>
      <t>2026/07/30 17:15:03 GMT+08:00</t>
    </r>
  </si>
  <si>
    <r>
      <rPr>
        <color indexed="12"/>
        <sz val="11.0"/>
        <rFont val="Calibri"/>
      </rPr>
      <t>2026/06/24 15:43:46 GMT+08:00</t>
    </r>
  </si>
  <si>
    <t xml:space="preserve">
原型图
序号
组件名称
功能描述
备注
1
推荐内容
1、标签：推荐关注、推荐礼品、推荐课程、推荐案例
2、关闭按钮：点击关闭推荐内容（关闭当前的一个卡片），后面的帖子和推荐内容补上，页面无空白区域(下次重新进入页面后，仍显示全部推荐内容）
3、图片：关注-用户头像、礼品/课程/案例-封面图
4、名称：用户、礼品、课程、案例名称
5、更多信息：用户-粉丝数和用户身份、礼品-积分、课程-共{n}节课时、案例-案例积分/免费
6、详情按钮：用户-关注/私信（已关注的状态为私信）、礼品/课程/案例-查看详情，点击后跳转到对应详情页
7、排布顺序：根据后台的顺序，每5  8篇帖子后依次插入。当推荐内容插入完毕后，剩余列表全部按帖子时间倒序展示，不进行重复插入；当帖子全部展示完，但仍有剩余推荐内容时，剩余推荐内容按顺序直接全部展示
8、过滤：推荐过滤【用户状态非正常、礼品下架或删除、课程屏蔽或删除、案例屏蔽或删除】的内容
</t>
  </si>
  <si>
    <r>
      <rPr>
        <color indexed="12"/>
        <sz val="11.0"/>
        <rFont val="Calibri"/>
      </rPr>
      <t>小程序-首页帖子排序和展示优化</t>
    </r>
  </si>
  <si>
    <r>
      <rPr>
        <color indexed="12"/>
        <sz val="11.0"/>
        <rFont val="Calibri"/>
      </rPr>
      <t>2026/07/30 17:15:20 GMT+08:00</t>
    </r>
  </si>
  <si>
    <r>
      <rPr>
        <color indexed="12"/>
        <sz val="11.0"/>
        <rFont val="Calibri"/>
      </rPr>
      <t>2026/06/24 15:43:25 GMT+08:00</t>
    </r>
  </si>
  <si>
    <t xml:space="preserve">
原型图
序号
组件名称
功能描述
备注
/
1
排序
1、有问必答帖子-最新提问下，除置顶帖将所有非精选帖子和精选帖子分别按照两个队列进行时间倒序排列，在每三篇非精选帖后插入一篇精选帖
2、当精选帖插入完毕后，剩余列表全部按非精选帖时间倒序展示，不进行重复插入
3、当非精选帖耗尽，但仍有剩余精选帖时，剩余精选帖按时间倒序直接展示
</t>
  </si>
  <si>
    <r>
      <rPr>
        <color indexed="12"/>
        <sz val="11.0"/>
        <rFont val="Calibri"/>
      </rPr>
      <t>管理后台-积分明细和抽奖配置优化</t>
    </r>
  </si>
  <si>
    <r>
      <rPr>
        <color indexed="12"/>
        <sz val="11.0"/>
        <rFont val="Calibri"/>
      </rPr>
      <t>2026/07/17 09:49:29 GMT+08:00</t>
    </r>
  </si>
  <si>
    <r>
      <rPr>
        <color indexed="12"/>
        <sz val="11.0"/>
        <rFont val="Calibri"/>
      </rPr>
      <t>2026/06/23 09:29:47 GMT+08:00</t>
    </r>
  </si>
  <si>
    <t xml:space="preserve">
原型图
序号
组件名称
功能描述
备注
1
抽奖列表
1、管理后台-积分抽奖管理，抽奖配置列表下增加“累计抽奖人数”列，表示参与此配置抽奖的累计总人数
2、当累计抽奖人数为0且状态为禁用时，操作列支持删除操作，点击删除，二次确认提示“删除后将无法恢复，是否确认删除？”，确定后删除配置
原型图
序号
组件名称
功能描述
备注
1
用户列表
1、管理后台-用户列表，在详情-积分明细表格上方，增加备注“默认展示近30天数据”，说明列表数据并非全部数据，要查询更多数据需要选择时间范围
</t>
  </si>
  <si>
    <r>
      <rPr>
        <color indexed="12"/>
        <sz val="11.0"/>
        <rFont val="Calibri"/>
      </rPr>
      <t>小程序-用户协议和隐私政策更新</t>
    </r>
  </si>
  <si>
    <r>
      <rPr>
        <color indexed="12"/>
        <sz val="11.0"/>
        <rFont val="Calibri"/>
      </rPr>
      <t>2026/06/29 13:16:41 GMT+08:00</t>
    </r>
  </si>
  <si>
    <r>
      <rPr>
        <color indexed="12"/>
        <sz val="11.0"/>
        <rFont val="Calibri"/>
      </rPr>
      <t>2026/06/08</t>
    </r>
  </si>
  <si>
    <r>
      <rPr>
        <color indexed="12"/>
        <sz val="11.0"/>
        <rFont val="Calibri"/>
      </rPr>
      <t>2026/06/30</t>
    </r>
  </si>
  <si>
    <r>
      <rPr>
        <color indexed="12"/>
        <sz val="11.0"/>
        <rFont val="Calibri"/>
      </rPr>
      <t>2026/06/22 14:10:27 GMT+08:00</t>
    </r>
  </si>
  <si>
    <t xml:space="preserve">积分系统上线，积分相关的协议内容需更新，对用户协议和隐私政策进行更新，具体内容参考附件
</t>
  </si>
  <si>
    <r>
      <rPr>
        <color indexed="12"/>
        <sz val="11.0"/>
        <rFont val="Calibri"/>
      </rPr>
      <t>小程序-帖子文件下载</t>
    </r>
  </si>
  <si>
    <r>
      <rPr>
        <color indexed="12"/>
        <sz val="11.0"/>
        <rFont val="Calibri"/>
      </rPr>
      <t>2026/07/17 09:49:34 GMT+08:00</t>
    </r>
  </si>
  <si>
    <r>
      <rPr>
        <color indexed="12"/>
        <sz val="11.0"/>
        <rFont val="Calibri"/>
      </rPr>
      <t>2026/06/22 13:24:49 GMT+08:00</t>
    </r>
  </si>
  <si>
    <t xml:space="preserve">
原型图
序号
组件名称
功能描述
备注
1
浏览和下载
1、位置：帖子组件顺序投票-卡片-文件
2、文件栏：显示文件名称和后缀、浏览图标、下载图标
3、浏览：点击浏览图标，使用微信浏览组件进入文件预览页面
4、下载：仅限关注帖主用户（含帖主本人）下载，否则提示“下载文件需先关注作者，快去关注吧”，点击去关注，滚动到帖子顶部。用户完成关注后继续点击下载，唤起微信下载文件组件完成转发和保存
5、未登录：未登录用户点击浏览和下载图标，提示“请先登录”并跳转登录页面
文件线框突出展示UI
</t>
  </si>
  <si>
    <r>
      <rPr>
        <color indexed="12"/>
        <sz val="11.0"/>
        <rFont val="Calibri"/>
      </rPr>
      <t>管理后台-有问必答帖子详情增加卡片和文件信息</t>
    </r>
  </si>
  <si>
    <r>
      <rPr>
        <color indexed="12"/>
        <sz val="11.0"/>
        <rFont val="Calibri"/>
      </rPr>
      <t>2026/07/17 09:49:40 GMT+08:00</t>
    </r>
  </si>
  <si>
    <r>
      <rPr>
        <color indexed="12"/>
        <sz val="11.0"/>
        <rFont val="Calibri"/>
      </rPr>
      <t>2026/06/22 13:17:06 GMT+08:00</t>
    </r>
  </si>
  <si>
    <t xml:space="preserve">
原型图
序号
组件名称
功能描述
备注
1
帖子详情
1、管理后台-帖子管理列表，当帖子包含卡片时，在操作列-详情弹窗的投票信息下方，增加显示卡片类型、卡片名称、卡片图片三个字段内容
2、当帖子包含文件时，在操作列-详情弹窗下增加显示文件字段内容，支持下载。点击下载按钮，使用浏览器下载文件
</t>
  </si>
  <si>
    <r>
      <rPr>
        <color indexed="12"/>
        <sz val="11.0"/>
        <rFont val="Calibri"/>
      </rPr>
      <t>小程序-帖子增加支持文件上传</t>
    </r>
  </si>
  <si>
    <r>
      <rPr>
        <color indexed="12"/>
        <sz val="11.0"/>
        <rFont val="Calibri"/>
      </rPr>
      <t>2026/07/17 09:49:46 GMT+08:00</t>
    </r>
  </si>
  <si>
    <r>
      <rPr>
        <color indexed="12"/>
        <sz val="11.0"/>
        <rFont val="Calibri"/>
      </rPr>
      <t>2026/06/22 10:47:12 GMT+08:00</t>
    </r>
  </si>
  <si>
    <t xml:space="preserve">UI链接：https://mastergo.com/file/164826850168556?page_id=1317%3A10834&amp;shareId=164826850168556
原型图
序号
组件名称
功能描述
备注
1
创建
1、上传：点击文件上传图标，打开上传文件半屏弹窗，弹窗包含选择文件、文件上传说明、取消确定按钮三个部分。
2、选择文件：点击后唤起微信官方文件上传组件，选择聊天文件上传
3、文件上传说明：
1、支持doc、docx、ppt、pptx、pdf文件类型
2、单篇帖子支持上传一个文件，限制100MB
3、仅关注您的用户可下载
4、删除：选择文件上传后，文件列表显示文件类型图标doc/ppt/pdf（UI设计）、文件名称和文件大小。点击右侧的删除按钮，移除文件回到未选择状态
5、校验：未上传符合规则文件时，确定按钮不可点击
6、提示语：选择其他类型，提示“暂不支持上传此类文件”；文件大小超过100MB，提示“暂不支持上传超过100MB的文件”
上传文件需经过审核后才能发布
</t>
  </si>
  <si>
    <r>
      <rPr>
        <color indexed="12"/>
        <sz val="11.0"/>
        <rFont val="Calibri"/>
      </rPr>
      <t>管理后台-课后实操</t>
    </r>
  </si>
  <si>
    <r>
      <rPr>
        <color indexed="12"/>
        <sz val="11.0"/>
        <rFont val="Calibri"/>
      </rPr>
      <t>2026/06/17 15:32:21 GMT+08:00</t>
    </r>
  </si>
  <si>
    <t xml:space="preserve"> 作为 &lt;用户角色&gt;
 我想要 &lt;结果&gt;
 以便于 &lt;目的&gt; 
</t>
  </si>
  <si>
    <r>
      <rPr>
        <color indexed="12"/>
        <sz val="11.0"/>
        <rFont val="Calibri"/>
      </rPr>
      <t>小程序-积分系统埋点分析</t>
    </r>
  </si>
  <si>
    <r>
      <rPr>
        <color indexed="12"/>
        <sz val="11.0"/>
        <rFont val="Calibri"/>
      </rPr>
      <t>2026/07/17 09:49:50 GMT+08:00</t>
    </r>
  </si>
  <si>
    <r>
      <rPr>
        <color indexed="12"/>
        <sz val="11.0"/>
        <rFont val="Calibri"/>
      </rPr>
      <t>2026/06/15 18:26:11 GMT+08:00</t>
    </r>
  </si>
  <si>
    <t xml:space="preserve">
          点位编号
点位名称（必填）
字段名称（必填）
字段类型（必填）
字段长度（必填）
字段描述（必填）
点位描述（必填）
场景（必填）
触发时机（必填）
埋点形式（必填）
路径分析（选填）
2
兑换礼品
用户ID
整数
10
用户的ID
兑换成功上报
兑换流程
前端获取后端结果后上报
前端
点位分析
2
兑换礼品
礼品积分
整数
10
礼品积分数
兑换成功上报
兑换流程
前端获取后端结果后上报
前端
点位分析
2
兑换礼品
礼品名称
文本
50
礼品名称
兑换成功上报
兑换流程
前端获取后端结果后上报
前端
点位分析
2
兑换礼品
兑换时间
文本
50
兑换成功的时间
兑换成功上报
兑换流程
前端获取后端结果后上报
前端
点位分析
2
兑换礼品
礼品性质
文本
50
礼品性质，实物/虚拟/课程
兑换成功上报
兑换流程
前端获取后端结果后上报
前端
点位分析
2
兑换礼品
礼品分类
文本
50
礼品类目，精品课程/模流服务等
兑换成功上报
兑换流程
前端获取后端结果后上报
前端
点位分析
2
兑换礼品
用户兑换前积分
整数
10
兑换礼品前的用户可用积分
兑换成功上报
兑换流程
前端获取后端结果后上报
前端
点位分析
2
兑换礼品
礼品订单号
文本
50
兑换礼品的订单号
兑换成功上报
兑换流程
前端获取后端结果后上报
前端
点位分析
3
积分抽奖
用户ID
整数
10
用户的ID
抽奖成功上报
积分抽奖
前端获取后端结果后上报
前端
点位分析
3
积分抽奖
抽奖时间
文本
50
点击开始抽奖的时间
抽奖成功上报
积分抽奖
前端获取后端结果后上报
前端
点位分析
3
积分抽奖
抽奖积分
整数
10
抽奖所用的积分
抽奖成功上报
积分抽奖
前端获取后端结果后上报
前端
点位分析
3
积分抽奖
中奖奖品
文本
10
中奖奖品名称
抽奖成功上报
积分抽奖
前端获取后端结果后上报
前端
点位分析
功能事件点位中，增加统计AI助手点击次数
</t>
  </si>
  <si>
    <r>
      <rPr>
        <color indexed="12"/>
        <sz val="11.0"/>
        <rFont val="Calibri"/>
      </rPr>
      <t>小程序-案例详情页数据展示优化</t>
    </r>
  </si>
  <si>
    <r>
      <rPr>
        <color indexed="12"/>
        <sz val="11.0"/>
        <rFont val="Calibri"/>
      </rPr>
      <t>2026/07/17 09:49:55 GMT+08:00</t>
    </r>
  </si>
  <si>
    <r>
      <rPr>
        <color indexed="12"/>
        <sz val="11.0"/>
        <rFont val="Calibri"/>
      </rPr>
      <t>2026/06/15 18:25:39 GMT+08:00</t>
    </r>
  </si>
  <si>
    <t xml:space="preserve">
原型图
序号
组件名称
功能描述
备注
1
编辑
1、 把“流动网格数”和“温度网格数”去除，显示充填网格数、凝固网格数、应力网格数（管理后台的名称需同步修改）
2、当网格数为0时，表示无该工艺结果，此字段不显示
flowMeshCount：充填网格数
stressMeshCount：应力网格数
thermalMeshCount：凝固网格数
2
名称显示
1、补全部分英文名称结果的翻译
3
工艺节拍
1、当包含多个工艺节拍时，同时显示所有阶段的图片，在结果名称后加上阶段后缀，如（阶段1）
</t>
  </si>
  <si>
    <r>
      <rPr>
        <color indexed="12"/>
        <sz val="11.0"/>
        <rFont val="Calibri"/>
      </rPr>
      <t>小程序-帖子正文增加卡片选项</t>
    </r>
  </si>
  <si>
    <r>
      <rPr>
        <color indexed="12"/>
        <sz val="11.0"/>
        <rFont val="Calibri"/>
      </rPr>
      <t>2026/07/17 09:50:00 GMT+08:00</t>
    </r>
  </si>
  <si>
    <r>
      <rPr>
        <color indexed="12"/>
        <sz val="11.0"/>
        <rFont val="Calibri"/>
      </rPr>
      <t>2026/06/12 13:39:56 GMT+08:00</t>
    </r>
  </si>
  <si>
    <t xml:space="preserve">UI链接：https://mastergo.com/file/164826850168556?page_id=1317%3A10834&amp;shareId=164826850168556
原型图
序号
组件名称
功能描述
备注
1
创建
1、单篇帖子最多能创建一个卡片。点击卡片按钮，打开创建卡片半屏弹窗，卡片类型为单选下拉项，分为“课程”
、“积分礼品”、“仿真案例”，选择卡片类型后，卡片名称可选项为对应类型下所有已公开对象的名称、单选，选择名称后自动带出封面图，点击确定后，创建卡片
2、点击卡片按钮或已创建的卡片编辑按钮，进入编辑页，底部为删除和确定按钮。点击确定按钮，保存编辑信息；点击删除按钮，删除卡片
2
详情
1、卡片位于帖子详情页正文底部评论区上方
2、卡片组成部分：图片、名称、类型、积分/价格（IOS端不显示课程价格）（卡片的内容为创建时的快照，后续变动不同步到帖子下的卡片内容）
3、图片：自动关联课程封面/积分封面图/案例卡片图
4、跳转：点击卡片跳转到对应详情页（如课程被屏蔽、礼品下架或案例取消公开，点击卡片提示课程/案例/礼品不存在）
</t>
  </si>
  <si>
    <r>
      <rPr>
        <color indexed="12"/>
        <sz val="11.0"/>
        <rFont val="Calibri"/>
      </rPr>
      <t>管理后台-课程管理和课时管理页面调整</t>
    </r>
  </si>
  <si>
    <r>
      <rPr>
        <color indexed="12"/>
        <sz val="11.0"/>
        <rFont val="Calibri"/>
      </rPr>
      <t>2026/06/11 14:24:41 GMT+08:00</t>
    </r>
  </si>
  <si>
    <t xml:space="preserve">
课程类型
小程序学习流程
管理后台差异
基础课程
直接观看视频，无答题/实操环节
无自测、练习、实操环节
训练营课程
课前自测 → 视频学习 → 课后练习 → 课后实操(四步解锁)
有自测、练习、实操环节
</t>
  </si>
  <si>
    <r>
      <rPr>
        <color indexed="12"/>
        <sz val="11.0"/>
        <rFont val="Calibri"/>
      </rPr>
      <t>小程序-课程播放规则调整</t>
    </r>
  </si>
  <si>
    <r>
      <rPr>
        <color indexed="12"/>
        <sz val="11.0"/>
        <rFont val="Calibri"/>
      </rPr>
      <t>2026/06/11 14:08:11 GMT+08:00</t>
    </r>
  </si>
  <si>
    <t xml:space="preserve">购买普通课程的用户，在学习视频时，进度条可随意拖动，无限制。注意同步课程进度统计规则
购买训练营课程的用户，在学习视频时逻辑规则与当前设置一样（允许回看不允许超前播放），不做变更
</t>
  </si>
</sst>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M101"/>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row>
    <row r="2" ht="12.75" customHeight="true">
      <c r="A2" s="5" t="str">
        <f>HYPERLINK("https://devcloud.cn-east-3.huaweicloud.com/projectman/scrum/78b2e310f37c4e28bfb3ef86179ac134/task/detail/713630261","713630261")</f>
        <v>713630261</v>
      </c>
      <c r="B2" s="2" t="s">
        <v>14</v>
      </c>
      <c r="C2" s="2"/>
      <c r="D2" s="2" t="s">
        <v>15</v>
      </c>
      <c r="E2" s="2" t="s">
        <v>16</v>
      </c>
      <c r="F2" s="2" t="s">
        <v>17</v>
      </c>
      <c r="G2" s="2" t="s">
        <v>18</v>
      </c>
      <c r="H2" s="2" t="s">
        <v>19</v>
      </c>
      <c r="I2" s="2" t="s">
        <v>20</v>
      </c>
      <c r="J2" s="3" t="n">
        <v>0.0</v>
      </c>
      <c r="K2" s="7" t="n">
        <v>0.0</v>
      </c>
      <c r="L2" s="2" t="s">
        <v>21</v>
      </c>
      <c r="M2" s="2" t="s">
        <v>22</v>
      </c>
    </row>
    <row r="3" ht="12.75" customHeight="true">
      <c r="A3" s="5" t="str">
        <f>HYPERLINK("https://devcloud.cn-east-3.huaweicloud.com/projectman/scrum/78b2e310f37c4e28bfb3ef86179ac134/task/detail/713630139","713630139")</f>
        <v>713630139</v>
      </c>
      <c r="B3" s="2" t="s">
        <v>23</v>
      </c>
      <c r="C3" s="2"/>
      <c r="D3" s="2" t="s">
        <v>15</v>
      </c>
      <c r="E3" s="2" t="s">
        <v>16</v>
      </c>
      <c r="F3" s="2" t="s">
        <v>17</v>
      </c>
      <c r="G3" s="2" t="s">
        <v>18</v>
      </c>
      <c r="H3" s="2" t="s">
        <v>19</v>
      </c>
      <c r="I3" s="2" t="s">
        <v>24</v>
      </c>
      <c r="J3" s="3" t="n">
        <v>0.0</v>
      </c>
      <c r="K3" s="7" t="n">
        <v>0.0</v>
      </c>
      <c r="L3" s="2" t="s">
        <v>21</v>
      </c>
      <c r="M3" s="2" t="s">
        <v>25</v>
      </c>
    </row>
    <row r="4" ht="12.75" customHeight="true">
      <c r="A4" s="5" t="str">
        <f>HYPERLINK("https://devcloud.cn-east-3.huaweicloud.com/projectman/scrum/78b2e310f37c4e28bfb3ef86179ac134/task/detail/713630004","713630004")</f>
        <v>713630004</v>
      </c>
      <c r="B4" s="2" t="s">
        <v>26</v>
      </c>
      <c r="C4" s="2"/>
      <c r="D4" s="2" t="s">
        <v>15</v>
      </c>
      <c r="E4" s="2" t="s">
        <v>16</v>
      </c>
      <c r="F4" s="2" t="s">
        <v>17</v>
      </c>
      <c r="G4" s="2" t="s">
        <v>18</v>
      </c>
      <c r="H4" s="2" t="s">
        <v>19</v>
      </c>
      <c r="I4" s="2" t="s">
        <v>27</v>
      </c>
      <c r="J4" s="3" t="n">
        <v>0.0</v>
      </c>
      <c r="K4" s="7" t="n">
        <v>0.0</v>
      </c>
      <c r="L4" s="2" t="s">
        <v>21</v>
      </c>
      <c r="M4" s="2" t="s">
        <v>28</v>
      </c>
    </row>
    <row r="5" ht="12.75" customHeight="true">
      <c r="A5" s="5" t="str">
        <f>HYPERLINK("https://devcloud.cn-east-3.huaweicloud.com/projectman/scrum/78b2e310f37c4e28bfb3ef86179ac134/task/detail/713629751","713629751")</f>
        <v>713629751</v>
      </c>
      <c r="B5" s="2" t="s">
        <v>29</v>
      </c>
      <c r="C5" s="2"/>
      <c r="D5" s="2" t="s">
        <v>15</v>
      </c>
      <c r="E5" s="2" t="s">
        <v>16</v>
      </c>
      <c r="F5" s="2" t="s">
        <v>17</v>
      </c>
      <c r="G5" s="2" t="s">
        <v>18</v>
      </c>
      <c r="H5" s="2" t="s">
        <v>19</v>
      </c>
      <c r="I5" s="2" t="s">
        <v>30</v>
      </c>
      <c r="J5" s="3" t="n">
        <v>0.0</v>
      </c>
      <c r="K5" s="7" t="n">
        <v>0.0</v>
      </c>
      <c r="L5" s="2" t="s">
        <v>21</v>
      </c>
      <c r="M5" s="2" t="s">
        <v>31</v>
      </c>
    </row>
    <row r="6" ht="12.75" customHeight="true">
      <c r="A6" s="5" t="str">
        <f>HYPERLINK("https://devcloud.cn-east-3.huaweicloud.com/projectman/scrum/78b2e310f37c4e28bfb3ef86179ac134/task/detail/713628867","713628867")</f>
        <v>713628867</v>
      </c>
      <c r="B6" s="2" t="s">
        <v>32</v>
      </c>
      <c r="C6" s="2"/>
      <c r="D6" s="2" t="s">
        <v>15</v>
      </c>
      <c r="E6" s="2" t="s">
        <v>16</v>
      </c>
      <c r="F6" s="2" t="s">
        <v>17</v>
      </c>
      <c r="G6" s="2" t="s">
        <v>18</v>
      </c>
      <c r="H6" s="2" t="s">
        <v>19</v>
      </c>
      <c r="I6" s="2" t="s">
        <v>33</v>
      </c>
      <c r="J6" s="3" t="n">
        <v>0.0</v>
      </c>
      <c r="K6" s="7" t="n">
        <v>0.0</v>
      </c>
      <c r="L6" s="2" t="s">
        <v>21</v>
      </c>
      <c r="M6" s="2" t="s">
        <v>34</v>
      </c>
    </row>
    <row r="7" ht="12.75" customHeight="true">
      <c r="A7" s="5" t="str">
        <f>HYPERLINK("https://devcloud.cn-east-3.huaweicloud.com/projectman/scrum/78b2e310f37c4e28bfb3ef86179ac134/task/detail/713622262","713622262")</f>
        <v>713622262</v>
      </c>
      <c r="B7" s="2" t="s">
        <v>35</v>
      </c>
      <c r="C7" s="2"/>
      <c r="D7" s="2" t="s">
        <v>15</v>
      </c>
      <c r="E7" s="2" t="s">
        <v>16</v>
      </c>
      <c r="F7" s="2" t="s">
        <v>17</v>
      </c>
      <c r="G7" s="2" t="s">
        <v>18</v>
      </c>
      <c r="H7" s="2" t="s">
        <v>36</v>
      </c>
      <c r="I7" s="2" t="s">
        <v>37</v>
      </c>
      <c r="J7" s="3" t="n">
        <v>0.0</v>
      </c>
      <c r="K7" s="7" t="n">
        <v>0.0</v>
      </c>
      <c r="L7" s="2" t="s">
        <v>21</v>
      </c>
      <c r="M7" s="2" t="s">
        <v>38</v>
      </c>
    </row>
    <row r="8" ht="12.75" customHeight="true">
      <c r="A8" s="5" t="str">
        <f>HYPERLINK("https://devcloud.cn-east-3.huaweicloud.com/projectman/scrum/78b2e310f37c4e28bfb3ef86179ac134/task/detail/713622257","713622257")</f>
        <v>713622257</v>
      </c>
      <c r="B8" s="2" t="s">
        <v>39</v>
      </c>
      <c r="C8" s="2"/>
      <c r="D8" s="2" t="s">
        <v>15</v>
      </c>
      <c r="E8" s="2" t="s">
        <v>16</v>
      </c>
      <c r="F8" s="2" t="s">
        <v>17</v>
      </c>
      <c r="G8" s="2" t="s">
        <v>18</v>
      </c>
      <c r="H8" s="2" t="s">
        <v>36</v>
      </c>
      <c r="I8" s="2" t="s">
        <v>40</v>
      </c>
      <c r="J8" s="3" t="n">
        <v>0.0</v>
      </c>
      <c r="K8" s="7" t="n">
        <v>0.0</v>
      </c>
      <c r="L8" s="2" t="s">
        <v>21</v>
      </c>
      <c r="M8" s="2" t="s">
        <v>41</v>
      </c>
    </row>
    <row r="9" ht="12.75" customHeight="true">
      <c r="A9" s="5" t="str">
        <f>HYPERLINK("https://devcloud.cn-east-3.huaweicloud.com/projectman/scrum/78b2e310f37c4e28bfb3ef86179ac134/task/detail/713622256","713622256")</f>
        <v>713622256</v>
      </c>
      <c r="B9" s="2" t="s">
        <v>42</v>
      </c>
      <c r="C9" s="2"/>
      <c r="D9" s="2" t="s">
        <v>15</v>
      </c>
      <c r="E9" s="2" t="s">
        <v>16</v>
      </c>
      <c r="F9" s="2" t="s">
        <v>17</v>
      </c>
      <c r="G9" s="2" t="s">
        <v>18</v>
      </c>
      <c r="H9" s="2" t="s">
        <v>19</v>
      </c>
      <c r="I9" s="2" t="s">
        <v>43</v>
      </c>
      <c r="J9" s="3" t="n">
        <v>0.0</v>
      </c>
      <c r="K9" s="7" t="n">
        <v>0.0</v>
      </c>
      <c r="L9" s="2" t="s">
        <v>21</v>
      </c>
      <c r="M9" s="2" t="s">
        <v>44</v>
      </c>
    </row>
    <row r="10" ht="12.75" customHeight="true">
      <c r="A10" s="5" t="str">
        <f>HYPERLINK("https://devcloud.cn-east-3.huaweicloud.com/projectman/scrum/78b2e310f37c4e28bfb3ef86179ac134/task/detail/713622250","713622250")</f>
        <v>713622250</v>
      </c>
      <c r="B10" s="2" t="s">
        <v>45</v>
      </c>
      <c r="C10" s="2"/>
      <c r="D10" s="2" t="s">
        <v>15</v>
      </c>
      <c r="E10" s="2" t="s">
        <v>16</v>
      </c>
      <c r="F10" s="2" t="s">
        <v>17</v>
      </c>
      <c r="G10" s="2" t="s">
        <v>18</v>
      </c>
      <c r="H10" s="2" t="s">
        <v>19</v>
      </c>
      <c r="I10" s="2" t="s">
        <v>46</v>
      </c>
      <c r="J10" s="3" t="n">
        <v>0.0</v>
      </c>
      <c r="K10" s="7" t="n">
        <v>0.0</v>
      </c>
      <c r="L10" s="2" t="s">
        <v>21</v>
      </c>
      <c r="M10" s="2" t="s">
        <v>47</v>
      </c>
    </row>
    <row r="11" ht="12.75" customHeight="true">
      <c r="A11" s="5" t="str">
        <f>HYPERLINK("https://devcloud.cn-east-3.huaweicloud.com/projectman/scrum/78b2e310f37c4e28bfb3ef86179ac134/task/detail/713622249","713622249")</f>
        <v>713622249</v>
      </c>
      <c r="B11" s="2" t="s">
        <v>48</v>
      </c>
      <c r="C11" s="2"/>
      <c r="D11" s="2" t="s">
        <v>15</v>
      </c>
      <c r="E11" s="2" t="s">
        <v>16</v>
      </c>
      <c r="F11" s="2" t="s">
        <v>17</v>
      </c>
      <c r="G11" s="2" t="s">
        <v>18</v>
      </c>
      <c r="H11" s="2" t="s">
        <v>19</v>
      </c>
      <c r="I11" s="2" t="s">
        <v>49</v>
      </c>
      <c r="J11" s="3" t="n">
        <v>0.0</v>
      </c>
      <c r="K11" s="7" t="n">
        <v>0.0</v>
      </c>
      <c r="L11" s="2" t="s">
        <v>21</v>
      </c>
      <c r="M11" s="2" t="s">
        <v>50</v>
      </c>
    </row>
    <row r="12" ht="12.75" customHeight="true">
      <c r="A12" s="5" t="str">
        <f>HYPERLINK("https://devcloud.cn-east-3.huaweicloud.com/projectman/scrum/78b2e310f37c4e28bfb3ef86179ac134/task/detail/713622090","713622090")</f>
        <v>713622090</v>
      </c>
      <c r="B12" s="2" t="s">
        <v>51</v>
      </c>
      <c r="C12" s="2"/>
      <c r="D12" s="2" t="s">
        <v>15</v>
      </c>
      <c r="E12" s="2" t="s">
        <v>16</v>
      </c>
      <c r="F12" s="2" t="s">
        <v>17</v>
      </c>
      <c r="G12" s="2" t="s">
        <v>18</v>
      </c>
      <c r="H12" s="2" t="s">
        <v>19</v>
      </c>
      <c r="I12" s="2" t="s">
        <v>52</v>
      </c>
      <c r="J12" s="3" t="n">
        <v>0.0</v>
      </c>
      <c r="K12" s="7" t="n">
        <v>0.0</v>
      </c>
      <c r="L12" s="2" t="s">
        <v>21</v>
      </c>
      <c r="M12" s="2" t="s">
        <v>53</v>
      </c>
    </row>
    <row r="13" ht="12.75" customHeight="true">
      <c r="A13" s="5" t="str">
        <f>HYPERLINK("https://devcloud.cn-east-3.huaweicloud.com/projectman/scrum/78b2e310f37c4e28bfb3ef86179ac134/task/detail/713621754","713621754")</f>
        <v>713621754</v>
      </c>
      <c r="B13" s="2" t="s">
        <v>54</v>
      </c>
      <c r="C13" s="2"/>
      <c r="D13" s="2" t="s">
        <v>15</v>
      </c>
      <c r="E13" s="2" t="s">
        <v>16</v>
      </c>
      <c r="F13" s="2" t="s">
        <v>17</v>
      </c>
      <c r="G13" s="2" t="s">
        <v>18</v>
      </c>
      <c r="H13" s="2" t="s">
        <v>36</v>
      </c>
      <c r="I13" s="2" t="s">
        <v>55</v>
      </c>
      <c r="J13" s="3" t="n">
        <v>0.0</v>
      </c>
      <c r="K13" s="7" t="n">
        <v>0.0</v>
      </c>
      <c r="L13" s="2" t="s">
        <v>21</v>
      </c>
      <c r="M13" s="2" t="s">
        <v>56</v>
      </c>
    </row>
    <row r="14" ht="12.75" customHeight="true">
      <c r="A14" s="5" t="str">
        <f>HYPERLINK("https://devcloud.cn-east-3.huaweicloud.com/projectman/scrum/78b2e310f37c4e28bfb3ef86179ac134/task/detail/713621257","713621257")</f>
        <v>713621257</v>
      </c>
      <c r="B14" s="2" t="s">
        <v>57</v>
      </c>
      <c r="C14" s="2"/>
      <c r="D14" s="2" t="s">
        <v>15</v>
      </c>
      <c r="E14" s="2" t="s">
        <v>16</v>
      </c>
      <c r="F14" s="2" t="s">
        <v>17</v>
      </c>
      <c r="G14" s="2" t="s">
        <v>18</v>
      </c>
      <c r="H14" s="2" t="s">
        <v>36</v>
      </c>
      <c r="I14" s="2" t="s">
        <v>58</v>
      </c>
      <c r="J14" s="3" t="n">
        <v>0.0</v>
      </c>
      <c r="K14" s="7" t="n">
        <v>0.0</v>
      </c>
      <c r="L14" s="2" t="s">
        <v>21</v>
      </c>
      <c r="M14" s="2" t="s">
        <v>59</v>
      </c>
    </row>
    <row r="15" ht="12.75" customHeight="true">
      <c r="A15" s="5" t="str">
        <f>HYPERLINK("https://devcloud.cn-east-3.huaweicloud.com/projectman/scrum/78b2e310f37c4e28bfb3ef86179ac134/task/detail/713605723","713605723")</f>
        <v>713605723</v>
      </c>
      <c r="B15" s="2" t="s">
        <v>60</v>
      </c>
      <c r="C15" s="2"/>
      <c r="D15" s="2" t="s">
        <v>15</v>
      </c>
      <c r="E15" s="2" t="s">
        <v>61</v>
      </c>
      <c r="F15" s="2" t="s">
        <v>62</v>
      </c>
      <c r="G15" s="2" t="s">
        <v>63</v>
      </c>
      <c r="H15" s="2" t="s">
        <v>36</v>
      </c>
      <c r="I15" s="2" t="s">
        <v>64</v>
      </c>
      <c r="J15" s="3" t="n">
        <v>0.0</v>
      </c>
      <c r="K15" s="7" t="n">
        <v>0.0</v>
      </c>
      <c r="L15" s="2" t="s">
        <v>21</v>
      </c>
      <c r="M15" s="2" t="s">
        <v>65</v>
      </c>
    </row>
    <row r="16" ht="12.75" customHeight="true">
      <c r="A16" s="5" t="str">
        <f>HYPERLINK("https://devcloud.cn-east-3.huaweicloud.com/projectman/scrum/78b2e310f37c4e28bfb3ef86179ac134/task/detail/713598524","713598524")</f>
        <v>713598524</v>
      </c>
      <c r="B16" s="2" t="s">
        <v>66</v>
      </c>
      <c r="C16" s="2"/>
      <c r="D16" s="2" t="s">
        <v>15</v>
      </c>
      <c r="E16" s="2" t="s">
        <v>16</v>
      </c>
      <c r="F16" s="2" t="s">
        <v>62</v>
      </c>
      <c r="G16" s="2" t="s">
        <v>63</v>
      </c>
      <c r="H16" s="2" t="s">
        <v>36</v>
      </c>
      <c r="I16" s="2" t="s">
        <v>67</v>
      </c>
      <c r="J16" s="3" t="n">
        <v>0.0</v>
      </c>
      <c r="K16" s="7" t="n">
        <v>0.0</v>
      </c>
      <c r="L16" s="2" t="s">
        <v>21</v>
      </c>
      <c r="M16" s="2" t="s">
        <v>68</v>
      </c>
    </row>
    <row r="17" ht="12.75" customHeight="true">
      <c r="A17" s="5" t="str">
        <f>HYPERLINK("https://devcloud.cn-east-3.huaweicloud.com/projectman/scrum/78b2e310f37c4e28bfb3ef86179ac134/task/detail/713598522","713598522")</f>
        <v>713598522</v>
      </c>
      <c r="B17" s="2" t="s">
        <v>69</v>
      </c>
      <c r="C17" s="2"/>
      <c r="D17" s="2" t="s">
        <v>15</v>
      </c>
      <c r="E17" s="2" t="s">
        <v>16</v>
      </c>
      <c r="F17" s="2" t="s">
        <v>62</v>
      </c>
      <c r="G17" s="2" t="s">
        <v>63</v>
      </c>
      <c r="H17" s="2" t="s">
        <v>36</v>
      </c>
      <c r="I17" s="2" t="s">
        <v>70</v>
      </c>
      <c r="J17" s="3" t="n">
        <v>0.0</v>
      </c>
      <c r="K17" s="7" t="n">
        <v>0.0</v>
      </c>
      <c r="L17" s="2" t="s">
        <v>21</v>
      </c>
      <c r="M17" s="2" t="s">
        <v>71</v>
      </c>
    </row>
    <row r="18" ht="12.75" customHeight="true">
      <c r="A18" s="5" t="str">
        <f>HYPERLINK("https://devcloud.cn-east-3.huaweicloud.com/projectman/scrum/78b2e310f37c4e28bfb3ef86179ac134/task/detail/713597956","713597956")</f>
        <v>713597956</v>
      </c>
      <c r="B18" s="2" t="s">
        <v>72</v>
      </c>
      <c r="C18" s="2"/>
      <c r="D18" s="2" t="s">
        <v>15</v>
      </c>
      <c r="E18" s="2" t="s">
        <v>16</v>
      </c>
      <c r="F18" s="2" t="s">
        <v>62</v>
      </c>
      <c r="G18" s="2" t="s">
        <v>63</v>
      </c>
      <c r="H18" s="2" t="s">
        <v>36</v>
      </c>
      <c r="I18" s="2" t="s">
        <v>73</v>
      </c>
      <c r="J18" s="3" t="n">
        <v>0.0</v>
      </c>
      <c r="K18" s="7" t="n">
        <v>0.0</v>
      </c>
      <c r="L18" s="2" t="s">
        <v>21</v>
      </c>
      <c r="M18" s="2" t="s">
        <v>74</v>
      </c>
    </row>
    <row r="19" ht="12.75" customHeight="true">
      <c r="A19" s="5" t="str">
        <f>HYPERLINK("https://devcloud.cn-east-3.huaweicloud.com/projectman/scrum/78b2e310f37c4e28bfb3ef86179ac134/task/detail/713597955","713597955")</f>
        <v>713597955</v>
      </c>
      <c r="B19" s="2" t="s">
        <v>75</v>
      </c>
      <c r="C19" s="2"/>
      <c r="D19" s="2" t="s">
        <v>15</v>
      </c>
      <c r="E19" s="2" t="s">
        <v>16</v>
      </c>
      <c r="F19" s="2" t="s">
        <v>62</v>
      </c>
      <c r="G19" s="2" t="s">
        <v>63</v>
      </c>
      <c r="H19" s="2" t="s">
        <v>19</v>
      </c>
      <c r="I19" s="2" t="s">
        <v>76</v>
      </c>
      <c r="J19" s="3" t="n">
        <v>0.0</v>
      </c>
      <c r="K19" s="7" t="n">
        <v>0.0</v>
      </c>
      <c r="L19" s="2" t="s">
        <v>21</v>
      </c>
      <c r="M19" s="2" t="s">
        <v>77</v>
      </c>
    </row>
    <row r="20" ht="12.75" customHeight="true">
      <c r="A20" s="5" t="str">
        <f>HYPERLINK("https://devcloud.cn-east-3.huaweicloud.com/projectman/scrum/78b2e310f37c4e28bfb3ef86179ac134/task/detail/713595013","713595013")</f>
        <v>713595013</v>
      </c>
      <c r="B20" s="2" t="s">
        <v>78</v>
      </c>
      <c r="C20" s="2"/>
      <c r="D20" s="2" t="s">
        <v>15</v>
      </c>
      <c r="E20" s="2" t="s">
        <v>16</v>
      </c>
      <c r="F20" s="2" t="s">
        <v>62</v>
      </c>
      <c r="G20" s="2" t="s">
        <v>63</v>
      </c>
      <c r="H20" s="2" t="s">
        <v>36</v>
      </c>
      <c r="I20" s="2" t="s">
        <v>79</v>
      </c>
      <c r="J20" s="3" t="n">
        <v>0.0</v>
      </c>
      <c r="K20" s="7" t="n">
        <v>0.0</v>
      </c>
      <c r="L20" s="2" t="s">
        <v>21</v>
      </c>
      <c r="M20" s="2" t="s">
        <v>80</v>
      </c>
    </row>
    <row r="21" ht="12.75" customHeight="true">
      <c r="A21" s="5" t="str">
        <f>HYPERLINK("https://devcloud.cn-east-3.huaweicloud.com/projectman/scrum/78b2e310f37c4e28bfb3ef86179ac134/task/detail/713595000","713595000")</f>
        <v>713595000</v>
      </c>
      <c r="B21" s="2" t="s">
        <v>81</v>
      </c>
      <c r="C21" s="2"/>
      <c r="D21" s="2" t="s">
        <v>15</v>
      </c>
      <c r="E21" s="2" t="s">
        <v>16</v>
      </c>
      <c r="F21" s="2" t="s">
        <v>62</v>
      </c>
      <c r="G21" s="2" t="s">
        <v>63</v>
      </c>
      <c r="H21" s="2" t="s">
        <v>36</v>
      </c>
      <c r="I21" s="2" t="s">
        <v>82</v>
      </c>
      <c r="J21" s="3" t="n">
        <v>0.0</v>
      </c>
      <c r="K21" s="7" t="n">
        <v>0.0</v>
      </c>
      <c r="L21" s="2" t="s">
        <v>21</v>
      </c>
      <c r="M21" s="2" t="s">
        <v>83</v>
      </c>
    </row>
    <row r="22" ht="12.75" customHeight="true">
      <c r="A22" s="5" t="str">
        <f>HYPERLINK("https://devcloud.cn-east-3.huaweicloud.com/projectman/scrum/78b2e310f37c4e28bfb3ef86179ac134/task/detail/713594997","713594997")</f>
        <v>713594997</v>
      </c>
      <c r="B22" s="2" t="s">
        <v>84</v>
      </c>
      <c r="C22" s="2"/>
      <c r="D22" s="2" t="s">
        <v>15</v>
      </c>
      <c r="E22" s="2" t="s">
        <v>16</v>
      </c>
      <c r="F22" s="2" t="s">
        <v>62</v>
      </c>
      <c r="G22" s="2" t="s">
        <v>63</v>
      </c>
      <c r="H22" s="2" t="s">
        <v>19</v>
      </c>
      <c r="I22" s="2" t="s">
        <v>85</v>
      </c>
      <c r="J22" s="3" t="n">
        <v>0.0</v>
      </c>
      <c r="K22" s="7" t="n">
        <v>0.0</v>
      </c>
      <c r="L22" s="2" t="s">
        <v>21</v>
      </c>
      <c r="M22" s="2" t="s">
        <v>86</v>
      </c>
    </row>
    <row r="23" ht="12.75" customHeight="true">
      <c r="A23" s="5" t="str">
        <f>HYPERLINK("https://devcloud.cn-east-3.huaweicloud.com/projectman/scrum/78b2e310f37c4e28bfb3ef86179ac134/task/detail/713594986","713594986")</f>
        <v>713594986</v>
      </c>
      <c r="B23" s="2" t="s">
        <v>87</v>
      </c>
      <c r="C23" s="2"/>
      <c r="D23" s="2" t="s">
        <v>15</v>
      </c>
      <c r="E23" s="2" t="s">
        <v>16</v>
      </c>
      <c r="F23" s="2" t="s">
        <v>62</v>
      </c>
      <c r="G23" s="2" t="s">
        <v>63</v>
      </c>
      <c r="H23" s="2" t="s">
        <v>19</v>
      </c>
      <c r="I23" s="2" t="s">
        <v>88</v>
      </c>
      <c r="J23" s="3" t="n">
        <v>0.0</v>
      </c>
      <c r="K23" s="7" t="n">
        <v>0.0</v>
      </c>
      <c r="L23" s="2" t="s">
        <v>21</v>
      </c>
      <c r="M23" s="2" t="s">
        <v>89</v>
      </c>
    </row>
    <row r="24" ht="12.75" customHeight="true">
      <c r="A24" s="5" t="str">
        <f>HYPERLINK("https://devcloud.cn-east-3.huaweicloud.com/projectman/scrum/78b2e310f37c4e28bfb3ef86179ac134/task/detail/713594985","713594985")</f>
        <v>713594985</v>
      </c>
      <c r="B24" s="2" t="s">
        <v>90</v>
      </c>
      <c r="C24" s="2"/>
      <c r="D24" s="2" t="s">
        <v>15</v>
      </c>
      <c r="E24" s="2" t="s">
        <v>16</v>
      </c>
      <c r="F24" s="2" t="s">
        <v>62</v>
      </c>
      <c r="G24" s="2" t="s">
        <v>63</v>
      </c>
      <c r="H24" s="2" t="s">
        <v>19</v>
      </c>
      <c r="I24" s="2" t="s">
        <v>91</v>
      </c>
      <c r="J24" s="3" t="n">
        <v>0.0</v>
      </c>
      <c r="K24" s="7" t="n">
        <v>0.0</v>
      </c>
      <c r="L24" s="2" t="s">
        <v>21</v>
      </c>
      <c r="M24" s="2" t="s">
        <v>92</v>
      </c>
    </row>
    <row r="25" ht="12.75" customHeight="true">
      <c r="A25" s="5" t="str">
        <f>HYPERLINK("https://devcloud.cn-east-3.huaweicloud.com/projectman/scrum/78b2e310f37c4e28bfb3ef86179ac134/task/detail/713594979","713594979")</f>
        <v>713594979</v>
      </c>
      <c r="B25" s="2" t="s">
        <v>93</v>
      </c>
      <c r="C25" s="2"/>
      <c r="D25" s="2" t="s">
        <v>15</v>
      </c>
      <c r="E25" s="2" t="s">
        <v>16</v>
      </c>
      <c r="F25" s="2" t="s">
        <v>62</v>
      </c>
      <c r="G25" s="2" t="s">
        <v>63</v>
      </c>
      <c r="H25" s="2" t="s">
        <v>19</v>
      </c>
      <c r="I25" s="2" t="s">
        <v>94</v>
      </c>
      <c r="J25" s="3" t="n">
        <v>0.0</v>
      </c>
      <c r="K25" s="7" t="n">
        <v>0.0</v>
      </c>
      <c r="L25" s="2" t="s">
        <v>21</v>
      </c>
      <c r="M25" s="2" t="s">
        <v>95</v>
      </c>
    </row>
    <row r="26" ht="12.75" customHeight="true">
      <c r="A26" s="5" t="str">
        <f>HYPERLINK("https://devcloud.cn-east-3.huaweicloud.com/projectman/scrum/78b2e310f37c4e28bfb3ef86179ac134/task/detail/713593562","713593562")</f>
        <v>713593562</v>
      </c>
      <c r="B26" s="2" t="s">
        <v>96</v>
      </c>
      <c r="C26" s="2" t="s">
        <v>97</v>
      </c>
      <c r="D26" s="2" t="s">
        <v>98</v>
      </c>
      <c r="E26" s="2" t="s">
        <v>16</v>
      </c>
      <c r="F26" s="2" t="s">
        <v>99</v>
      </c>
      <c r="G26" s="2" t="s">
        <v>100</v>
      </c>
      <c r="H26" s="2" t="s">
        <v>36</v>
      </c>
      <c r="I26" s="2" t="s">
        <v>101</v>
      </c>
      <c r="J26" s="3" t="n">
        <v>0.0</v>
      </c>
      <c r="K26" s="7" t="n">
        <v>0.0</v>
      </c>
      <c r="L26" s="2" t="s">
        <v>21</v>
      </c>
      <c r="M26" s="2" t="s">
        <v>102</v>
      </c>
    </row>
    <row r="27" ht="12.75" customHeight="true">
      <c r="A27" s="5" t="str">
        <f>HYPERLINK("https://devcloud.cn-east-3.huaweicloud.com/projectman/scrum/78b2e310f37c4e28bfb3ef86179ac134/task/detail/713586610","713586610")</f>
        <v>713586610</v>
      </c>
      <c r="B27" s="2" t="s">
        <v>103</v>
      </c>
      <c r="C27" s="2" t="s">
        <v>104</v>
      </c>
      <c r="D27" s="2" t="s">
        <v>98</v>
      </c>
      <c r="E27" s="2" t="s">
        <v>16</v>
      </c>
      <c r="F27" s="2" t="s">
        <v>99</v>
      </c>
      <c r="G27" s="2" t="s">
        <v>100</v>
      </c>
      <c r="H27" s="2" t="s">
        <v>36</v>
      </c>
      <c r="I27" s="2" t="s">
        <v>105</v>
      </c>
      <c r="J27" s="3" t="n">
        <v>12.0</v>
      </c>
      <c r="K27" s="7" t="n">
        <v>0.0</v>
      </c>
      <c r="L27" s="2" t="s">
        <v>21</v>
      </c>
      <c r="M27" s="2" t="s">
        <v>106</v>
      </c>
    </row>
    <row r="28" ht="12.75" customHeight="true">
      <c r="A28" s="5" t="str">
        <f>HYPERLINK("https://devcloud.cn-east-3.huaweicloud.com/projectman/scrum/78b2e310f37c4e28bfb3ef86179ac134/task/detail/713582841","713582841")</f>
        <v>713582841</v>
      </c>
      <c r="B28" s="2" t="s">
        <v>107</v>
      </c>
      <c r="C28" s="2" t="s">
        <v>108</v>
      </c>
      <c r="D28" s="2" t="s">
        <v>98</v>
      </c>
      <c r="E28" s="2" t="s">
        <v>16</v>
      </c>
      <c r="F28" s="2" t="s">
        <v>99</v>
      </c>
      <c r="G28" s="2" t="s">
        <v>100</v>
      </c>
      <c r="H28" s="2" t="s">
        <v>36</v>
      </c>
      <c r="I28" s="2" t="s">
        <v>109</v>
      </c>
      <c r="J28" s="3" t="n">
        <v>10.0</v>
      </c>
      <c r="K28" s="7" t="n">
        <v>0.0</v>
      </c>
      <c r="L28" s="2" t="s">
        <v>21</v>
      </c>
      <c r="M28" s="2" t="s">
        <v>110</v>
      </c>
    </row>
    <row r="29" ht="12.75" customHeight="true">
      <c r="A29" s="5" t="str">
        <f>HYPERLINK("https://devcloud.cn-east-3.huaweicloud.com/projectman/scrum/78b2e310f37c4e28bfb3ef86179ac134/task/detail/713582491","713582491")</f>
        <v>713582491</v>
      </c>
      <c r="B29" s="2" t="s">
        <v>111</v>
      </c>
      <c r="C29" s="2" t="s">
        <v>112</v>
      </c>
      <c r="D29" s="2" t="s">
        <v>98</v>
      </c>
      <c r="E29" s="2" t="s">
        <v>16</v>
      </c>
      <c r="F29" s="2" t="s">
        <v>99</v>
      </c>
      <c r="G29" s="2" t="s">
        <v>100</v>
      </c>
      <c r="H29" s="2" t="s">
        <v>36</v>
      </c>
      <c r="I29" s="2" t="s">
        <v>113</v>
      </c>
      <c r="J29" s="3" t="n">
        <v>10.0</v>
      </c>
      <c r="K29" s="7" t="n">
        <v>0.0</v>
      </c>
      <c r="L29" s="2" t="s">
        <v>21</v>
      </c>
      <c r="M29" s="2" t="s">
        <v>114</v>
      </c>
    </row>
    <row r="30" ht="12.75" customHeight="true">
      <c r="A30" s="5" t="str">
        <f>HYPERLINK("https://devcloud.cn-east-3.huaweicloud.com/projectman/scrum/78b2e310f37c4e28bfb3ef86179ac134/task/detail/713582098","713582098")</f>
        <v>713582098</v>
      </c>
      <c r="B30" s="2" t="s">
        <v>115</v>
      </c>
      <c r="C30" s="2" t="s">
        <v>116</v>
      </c>
      <c r="D30" s="2" t="s">
        <v>98</v>
      </c>
      <c r="E30" s="2" t="s">
        <v>16</v>
      </c>
      <c r="F30" s="2" t="s">
        <v>99</v>
      </c>
      <c r="G30" s="2" t="s">
        <v>100</v>
      </c>
      <c r="H30" s="2" t="s">
        <v>36</v>
      </c>
      <c r="I30" s="2" t="s">
        <v>117</v>
      </c>
      <c r="J30" s="3" t="n">
        <v>9.0</v>
      </c>
      <c r="K30" s="7" t="n">
        <v>0.0</v>
      </c>
      <c r="L30" s="2" t="s">
        <v>21</v>
      </c>
      <c r="M30" s="2" t="s">
        <v>118</v>
      </c>
    </row>
    <row r="31" ht="12.75" customHeight="true">
      <c r="A31" s="5" t="str">
        <f>HYPERLINK("https://devcloud.cn-east-3.huaweicloud.com/projectman/scrum/78b2e310f37c4e28bfb3ef86179ac134/task/detail/713582097","713582097")</f>
        <v>713582097</v>
      </c>
      <c r="B31" s="2" t="s">
        <v>119</v>
      </c>
      <c r="C31" s="2" t="s">
        <v>120</v>
      </c>
      <c r="D31" s="2" t="s">
        <v>98</v>
      </c>
      <c r="E31" s="2" t="s">
        <v>16</v>
      </c>
      <c r="F31" s="2" t="s">
        <v>99</v>
      </c>
      <c r="G31" s="2" t="s">
        <v>100</v>
      </c>
      <c r="H31" s="2" t="s">
        <v>36</v>
      </c>
      <c r="I31" s="2" t="s">
        <v>121</v>
      </c>
      <c r="J31" s="3" t="n">
        <v>5.0</v>
      </c>
      <c r="K31" s="7" t="n">
        <v>0.0</v>
      </c>
      <c r="L31" s="2" t="s">
        <v>21</v>
      </c>
      <c r="M31" s="2" t="s">
        <v>122</v>
      </c>
    </row>
    <row r="32" ht="12.75" customHeight="true">
      <c r="A32" s="5" t="str">
        <f>HYPERLINK("https://devcloud.cn-east-3.huaweicloud.com/projectman/scrum/78b2e310f37c4e28bfb3ef86179ac134/task/detail/713581830","713581830")</f>
        <v>713581830</v>
      </c>
      <c r="B32" s="2" t="s">
        <v>123</v>
      </c>
      <c r="C32" s="2" t="s">
        <v>124</v>
      </c>
      <c r="D32" s="2" t="s">
        <v>98</v>
      </c>
      <c r="E32" s="2" t="s">
        <v>16</v>
      </c>
      <c r="F32" s="2" t="s">
        <v>99</v>
      </c>
      <c r="G32" s="2" t="s">
        <v>100</v>
      </c>
      <c r="H32" s="2" t="s">
        <v>36</v>
      </c>
      <c r="I32" s="2" t="s">
        <v>125</v>
      </c>
      <c r="J32" s="3" t="n">
        <v>8.0</v>
      </c>
      <c r="K32" s="7" t="n">
        <v>0.0</v>
      </c>
      <c r="L32" s="2" t="s">
        <v>21</v>
      </c>
      <c r="M32" s="2" t="s">
        <v>126</v>
      </c>
    </row>
    <row r="33" ht="12.75" customHeight="true">
      <c r="A33" s="5" t="str">
        <f>HYPERLINK("https://devcloud.cn-east-3.huaweicloud.com/projectman/scrum/78b2e310f37c4e28bfb3ef86179ac134/task/detail/713581828","713581828")</f>
        <v>713581828</v>
      </c>
      <c r="B33" s="2" t="s">
        <v>127</v>
      </c>
      <c r="C33" s="2" t="s">
        <v>128</v>
      </c>
      <c r="D33" s="2" t="s">
        <v>98</v>
      </c>
      <c r="E33" s="2" t="s">
        <v>16</v>
      </c>
      <c r="F33" s="2" t="s">
        <v>99</v>
      </c>
      <c r="G33" s="2" t="s">
        <v>100</v>
      </c>
      <c r="H33" s="2" t="s">
        <v>36</v>
      </c>
      <c r="I33" s="2" t="s">
        <v>129</v>
      </c>
      <c r="J33" s="3" t="n">
        <v>10.0</v>
      </c>
      <c r="K33" s="7" t="n">
        <v>0.0</v>
      </c>
      <c r="L33" s="2" t="s">
        <v>21</v>
      </c>
      <c r="M33" s="2" t="s">
        <v>130</v>
      </c>
    </row>
    <row r="34" ht="12.75" customHeight="true">
      <c r="A34" s="5" t="str">
        <f>HYPERLINK("https://devcloud.cn-east-3.huaweicloud.com/projectman/scrum/78b2e310f37c4e28bfb3ef86179ac134/task/detail/713581826","713581826")</f>
        <v>713581826</v>
      </c>
      <c r="B34" s="2" t="s">
        <v>131</v>
      </c>
      <c r="C34" s="2" t="s">
        <v>132</v>
      </c>
      <c r="D34" s="2" t="s">
        <v>98</v>
      </c>
      <c r="E34" s="2" t="s">
        <v>16</v>
      </c>
      <c r="F34" s="2" t="s">
        <v>99</v>
      </c>
      <c r="G34" s="2" t="s">
        <v>100</v>
      </c>
      <c r="H34" s="2" t="s">
        <v>36</v>
      </c>
      <c r="I34" s="2" t="s">
        <v>133</v>
      </c>
      <c r="J34" s="3" t="n">
        <v>16.0</v>
      </c>
      <c r="K34" s="7" t="n">
        <v>0.0</v>
      </c>
      <c r="L34" s="2" t="s">
        <v>21</v>
      </c>
      <c r="M34" s="2" t="s">
        <v>134</v>
      </c>
    </row>
    <row r="35" ht="12.75" customHeight="true">
      <c r="A35" s="5" t="str">
        <f>HYPERLINK("https://devcloud.cn-east-3.huaweicloud.com/projectman/scrum/78b2e310f37c4e28bfb3ef86179ac134/task/detail/713581825","713581825")</f>
        <v>713581825</v>
      </c>
      <c r="B35" s="2" t="s">
        <v>135</v>
      </c>
      <c r="C35" s="2" t="s">
        <v>136</v>
      </c>
      <c r="D35" s="2" t="s">
        <v>98</v>
      </c>
      <c r="E35" s="2" t="s">
        <v>16</v>
      </c>
      <c r="F35" s="2" t="s">
        <v>99</v>
      </c>
      <c r="G35" s="2" t="s">
        <v>100</v>
      </c>
      <c r="H35" s="2" t="s">
        <v>36</v>
      </c>
      <c r="I35" s="2" t="s">
        <v>137</v>
      </c>
      <c r="J35" s="3" t="n">
        <v>8.0</v>
      </c>
      <c r="K35" s="7" t="n">
        <v>0.0</v>
      </c>
      <c r="L35" s="2" t="s">
        <v>21</v>
      </c>
      <c r="M35" s="2" t="s">
        <v>138</v>
      </c>
    </row>
    <row r="36" ht="12.75" customHeight="true">
      <c r="A36" s="5" t="str">
        <f>HYPERLINK("https://devcloud.cn-east-3.huaweicloud.com/projectman/scrum/78b2e310f37c4e28bfb3ef86179ac134/task/detail/713581824","713581824")</f>
        <v>713581824</v>
      </c>
      <c r="B36" s="2" t="s">
        <v>139</v>
      </c>
      <c r="C36" s="2" t="s">
        <v>140</v>
      </c>
      <c r="D36" s="2" t="s">
        <v>98</v>
      </c>
      <c r="E36" s="2" t="s">
        <v>16</v>
      </c>
      <c r="F36" s="2" t="s">
        <v>99</v>
      </c>
      <c r="G36" s="2" t="s">
        <v>100</v>
      </c>
      <c r="H36" s="2" t="s">
        <v>36</v>
      </c>
      <c r="I36" s="2" t="s">
        <v>141</v>
      </c>
      <c r="J36" s="3" t="n">
        <v>6.0</v>
      </c>
      <c r="K36" s="7" t="n">
        <v>0.0</v>
      </c>
      <c r="L36" s="2" t="s">
        <v>21</v>
      </c>
      <c r="M36" s="2" t="s">
        <v>142</v>
      </c>
    </row>
    <row r="37" ht="12.75" customHeight="true">
      <c r="A37" s="5" t="str">
        <f>HYPERLINK("https://devcloud.cn-east-3.huaweicloud.com/projectman/scrum/78b2e310f37c4e28bfb3ef86179ac134/task/detail/713581700","713581700")</f>
        <v>713581700</v>
      </c>
      <c r="B37" s="2" t="s">
        <v>143</v>
      </c>
      <c r="C37" s="2" t="s">
        <v>144</v>
      </c>
      <c r="D37" s="2" t="s">
        <v>98</v>
      </c>
      <c r="E37" s="2" t="s">
        <v>16</v>
      </c>
      <c r="F37" s="2" t="s">
        <v>99</v>
      </c>
      <c r="G37" s="2" t="s">
        <v>100</v>
      </c>
      <c r="H37" s="2" t="s">
        <v>36</v>
      </c>
      <c r="I37" s="2" t="s">
        <v>145</v>
      </c>
      <c r="J37" s="3" t="n">
        <v>4.0</v>
      </c>
      <c r="K37" s="7" t="n">
        <v>0.0</v>
      </c>
      <c r="L37" s="2" t="s">
        <v>21</v>
      </c>
      <c r="M37" s="2" t="s">
        <v>146</v>
      </c>
    </row>
    <row r="38" ht="12.75" customHeight="true">
      <c r="A38" s="5" t="str">
        <f>HYPERLINK("https://devcloud.cn-east-3.huaweicloud.com/projectman/scrum/78b2e310f37c4e28bfb3ef86179ac134/task/detail/713567947","713567947")</f>
        <v>713567947</v>
      </c>
      <c r="B38" s="2" t="s">
        <v>147</v>
      </c>
      <c r="C38" s="2" t="s">
        <v>148</v>
      </c>
      <c r="D38" s="2" t="s">
        <v>98</v>
      </c>
      <c r="E38" s="2" t="s">
        <v>16</v>
      </c>
      <c r="F38" s="2" t="s">
        <v>149</v>
      </c>
      <c r="G38" s="2" t="s">
        <v>150</v>
      </c>
      <c r="H38" s="2" t="s">
        <v>36</v>
      </c>
      <c r="I38" s="2" t="s">
        <v>151</v>
      </c>
      <c r="J38" s="3" t="n">
        <v>8.0</v>
      </c>
      <c r="K38" s="7" t="n">
        <v>0.0</v>
      </c>
      <c r="L38" s="2" t="s">
        <v>21</v>
      </c>
      <c r="M38" s="2" t="s">
        <v>152</v>
      </c>
    </row>
    <row r="39" ht="12.75" customHeight="true">
      <c r="A39" s="5" t="str">
        <f>HYPERLINK("https://devcloud.cn-east-3.huaweicloud.com/projectman/scrum/78b2e310f37c4e28bfb3ef86179ac134/task/detail/713560362","713560362")</f>
        <v>713560362</v>
      </c>
      <c r="B39" s="2" t="s">
        <v>153</v>
      </c>
      <c r="C39" s="2" t="s">
        <v>154</v>
      </c>
      <c r="D39" s="2" t="s">
        <v>98</v>
      </c>
      <c r="E39" s="2" t="s">
        <v>16</v>
      </c>
      <c r="F39" s="2" t="s">
        <v>149</v>
      </c>
      <c r="G39" s="2" t="s">
        <v>150</v>
      </c>
      <c r="H39" s="2" t="s">
        <v>36</v>
      </c>
      <c r="I39" s="2" t="s">
        <v>155</v>
      </c>
      <c r="J39" s="3" t="n">
        <v>3.0</v>
      </c>
      <c r="K39" s="7" t="n">
        <v>0.0</v>
      </c>
      <c r="L39" s="2" t="s">
        <v>21</v>
      </c>
      <c r="M39" s="2" t="s">
        <v>156</v>
      </c>
    </row>
    <row r="40" ht="12.75" customHeight="true">
      <c r="A40" s="5" t="str">
        <f>HYPERLINK("https://devcloud.cn-east-3.huaweicloud.com/projectman/scrum/78b2e310f37c4e28bfb3ef86179ac134/task/detail/713556982","713556982")</f>
        <v>713556982</v>
      </c>
      <c r="B40" s="2" t="s">
        <v>157</v>
      </c>
      <c r="C40" s="2" t="s">
        <v>158</v>
      </c>
      <c r="D40" s="2" t="s">
        <v>98</v>
      </c>
      <c r="E40" s="2" t="s">
        <v>16</v>
      </c>
      <c r="F40" s="2" t="s">
        <v>149</v>
      </c>
      <c r="G40" s="2" t="s">
        <v>150</v>
      </c>
      <c r="H40" s="2" t="s">
        <v>19</v>
      </c>
      <c r="I40" s="2" t="s">
        <v>159</v>
      </c>
      <c r="J40" s="3" t="n">
        <v>5.0</v>
      </c>
      <c r="K40" s="7" t="n">
        <v>0.0</v>
      </c>
      <c r="L40" s="2" t="s">
        <v>21</v>
      </c>
      <c r="M40" s="2" t="s">
        <v>160</v>
      </c>
    </row>
    <row r="41" ht="12.75" customHeight="true">
      <c r="A41" s="5" t="str">
        <f>HYPERLINK("https://devcloud.cn-east-3.huaweicloud.com/projectman/scrum/78b2e310f37c4e28bfb3ef86179ac134/task/detail/713556975","713556975")</f>
        <v>713556975</v>
      </c>
      <c r="B41" s="2" t="s">
        <v>161</v>
      </c>
      <c r="C41" s="2" t="s">
        <v>162</v>
      </c>
      <c r="D41" s="2" t="s">
        <v>98</v>
      </c>
      <c r="E41" s="2" t="s">
        <v>16</v>
      </c>
      <c r="F41" s="2" t="s">
        <v>149</v>
      </c>
      <c r="G41" s="2" t="s">
        <v>150</v>
      </c>
      <c r="H41" s="2" t="s">
        <v>19</v>
      </c>
      <c r="I41" s="2" t="s">
        <v>163</v>
      </c>
      <c r="J41" s="3" t="n">
        <v>9.0</v>
      </c>
      <c r="K41" s="7" t="n">
        <v>0.0</v>
      </c>
      <c r="L41" s="2" t="s">
        <v>21</v>
      </c>
      <c r="M41" s="2" t="s">
        <v>164</v>
      </c>
    </row>
    <row r="42" ht="12.75" customHeight="true">
      <c r="A42" s="5" t="str">
        <f>HYPERLINK("https://devcloud.cn-east-3.huaweicloud.com/projectman/scrum/78b2e310f37c4e28bfb3ef86179ac134/task/detail/713556766","713556766")</f>
        <v>713556766</v>
      </c>
      <c r="B42" s="2" t="s">
        <v>165</v>
      </c>
      <c r="C42" s="2" t="s">
        <v>166</v>
      </c>
      <c r="D42" s="2" t="s">
        <v>98</v>
      </c>
      <c r="E42" s="2" t="s">
        <v>16</v>
      </c>
      <c r="F42" s="2" t="s">
        <v>149</v>
      </c>
      <c r="G42" s="2" t="s">
        <v>150</v>
      </c>
      <c r="H42" s="2" t="s">
        <v>19</v>
      </c>
      <c r="I42" s="2" t="s">
        <v>167</v>
      </c>
      <c r="J42" s="3" t="n">
        <v>8.0</v>
      </c>
      <c r="K42" s="7" t="n">
        <v>0.0</v>
      </c>
      <c r="L42" s="2" t="s">
        <v>21</v>
      </c>
      <c r="M42" s="2" t="s">
        <v>168</v>
      </c>
    </row>
    <row r="43" ht="12.75" customHeight="true">
      <c r="A43" s="5" t="str">
        <f>HYPERLINK("https://devcloud.cn-east-3.huaweicloud.com/projectman/scrum/78b2e310f37c4e28bfb3ef86179ac134/task/detail/713555955","713555955")</f>
        <v>713555955</v>
      </c>
      <c r="B43" s="2" t="s">
        <v>169</v>
      </c>
      <c r="C43" s="2" t="s">
        <v>170</v>
      </c>
      <c r="D43" s="2" t="s">
        <v>98</v>
      </c>
      <c r="E43" s="2" t="s">
        <v>16</v>
      </c>
      <c r="F43" s="2" t="s">
        <v>149</v>
      </c>
      <c r="G43" s="2" t="s">
        <v>150</v>
      </c>
      <c r="H43" s="2" t="s">
        <v>36</v>
      </c>
      <c r="I43" s="2" t="s">
        <v>171</v>
      </c>
      <c r="J43" s="3" t="n">
        <v>6.0</v>
      </c>
      <c r="K43" s="7" t="n">
        <v>0.0</v>
      </c>
      <c r="L43" s="2" t="s">
        <v>21</v>
      </c>
      <c r="M43" s="2" t="s">
        <v>172</v>
      </c>
    </row>
    <row r="44" ht="12.75" customHeight="true">
      <c r="A44" s="5" t="str">
        <f>HYPERLINK("https://devcloud.cn-east-3.huaweicloud.com/projectman/scrum/78b2e310f37c4e28bfb3ef86179ac134/task/detail/713555361","713555361")</f>
        <v>713555361</v>
      </c>
      <c r="B44" s="2" t="s">
        <v>173</v>
      </c>
      <c r="C44" s="2" t="s">
        <v>174</v>
      </c>
      <c r="D44" s="2" t="s">
        <v>98</v>
      </c>
      <c r="E44" s="2" t="s">
        <v>16</v>
      </c>
      <c r="F44" s="2" t="s">
        <v>149</v>
      </c>
      <c r="G44" s="2" t="s">
        <v>150</v>
      </c>
      <c r="H44" s="2" t="s">
        <v>36</v>
      </c>
      <c r="I44" s="2" t="s">
        <v>175</v>
      </c>
      <c r="J44" s="3" t="n">
        <v>6.0</v>
      </c>
      <c r="K44" s="7" t="n">
        <v>0.0</v>
      </c>
      <c r="L44" s="2" t="s">
        <v>21</v>
      </c>
      <c r="M44" s="2" t="s">
        <v>176</v>
      </c>
    </row>
    <row r="45" ht="12.75" customHeight="true">
      <c r="A45" s="5" t="str">
        <f>HYPERLINK("https://devcloud.cn-east-3.huaweicloud.com/projectman/scrum/78b2e310f37c4e28bfb3ef86179ac134/task/detail/713555353","713555353")</f>
        <v>713555353</v>
      </c>
      <c r="B45" s="2" t="s">
        <v>177</v>
      </c>
      <c r="C45" s="2" t="s">
        <v>178</v>
      </c>
      <c r="D45" s="2" t="s">
        <v>98</v>
      </c>
      <c r="E45" s="2" t="s">
        <v>16</v>
      </c>
      <c r="F45" s="2" t="s">
        <v>149</v>
      </c>
      <c r="G45" s="2" t="s">
        <v>150</v>
      </c>
      <c r="H45" s="2" t="s">
        <v>19</v>
      </c>
      <c r="I45" s="2" t="s">
        <v>179</v>
      </c>
      <c r="J45" s="3" t="n">
        <v>8.0</v>
      </c>
      <c r="K45" s="7" t="n">
        <v>0.0</v>
      </c>
      <c r="L45" s="2" t="s">
        <v>21</v>
      </c>
      <c r="M45" s="2" t="s">
        <v>180</v>
      </c>
    </row>
    <row r="46" ht="12.75" customHeight="true">
      <c r="A46" s="5" t="str">
        <f>HYPERLINK("https://devcloud.cn-east-3.huaweicloud.com/projectman/scrum/78b2e310f37c4e28bfb3ef86179ac134/task/detail/713555349","713555349")</f>
        <v>713555349</v>
      </c>
      <c r="B46" s="2" t="s">
        <v>181</v>
      </c>
      <c r="C46" s="2" t="s">
        <v>182</v>
      </c>
      <c r="D46" s="2" t="s">
        <v>98</v>
      </c>
      <c r="E46" s="2" t="s">
        <v>16</v>
      </c>
      <c r="F46" s="2" t="s">
        <v>149</v>
      </c>
      <c r="G46" s="2" t="s">
        <v>150</v>
      </c>
      <c r="H46" s="2" t="s">
        <v>19</v>
      </c>
      <c r="I46" s="2" t="s">
        <v>183</v>
      </c>
      <c r="J46" s="3" t="n">
        <v>9.0</v>
      </c>
      <c r="K46" s="7" t="n">
        <v>0.0</v>
      </c>
      <c r="L46" s="2" t="s">
        <v>21</v>
      </c>
      <c r="M46" s="2" t="s">
        <v>184</v>
      </c>
    </row>
    <row r="47" ht="12.75" customHeight="true">
      <c r="A47" s="5" t="str">
        <f>HYPERLINK("https://devcloud.cn-east-3.huaweicloud.com/projectman/scrum/78b2e310f37c4e28bfb3ef86179ac134/task/detail/713555345","713555345")</f>
        <v>713555345</v>
      </c>
      <c r="B47" s="2" t="s">
        <v>185</v>
      </c>
      <c r="C47" s="2" t="s">
        <v>186</v>
      </c>
      <c r="D47" s="2" t="s">
        <v>98</v>
      </c>
      <c r="E47" s="2" t="s">
        <v>16</v>
      </c>
      <c r="F47" s="2" t="s">
        <v>149</v>
      </c>
      <c r="G47" s="2" t="s">
        <v>150</v>
      </c>
      <c r="H47" s="2" t="s">
        <v>19</v>
      </c>
      <c r="I47" s="2" t="s">
        <v>187</v>
      </c>
      <c r="J47" s="3" t="n">
        <v>28.0</v>
      </c>
      <c r="K47" s="7" t="n">
        <v>0.0</v>
      </c>
      <c r="L47" s="2" t="s">
        <v>21</v>
      </c>
      <c r="M47" s="2" t="s">
        <v>188</v>
      </c>
    </row>
    <row r="48" ht="12.75" customHeight="true">
      <c r="A48" s="5" t="str">
        <f>HYPERLINK("https://devcloud.cn-east-3.huaweicloud.com/projectman/scrum/78b2e310f37c4e28bfb3ef86179ac134/task/detail/713555336","713555336")</f>
        <v>713555336</v>
      </c>
      <c r="B48" s="2" t="s">
        <v>189</v>
      </c>
      <c r="C48" s="2" t="s">
        <v>190</v>
      </c>
      <c r="D48" s="2" t="s">
        <v>98</v>
      </c>
      <c r="E48" s="2" t="s">
        <v>16</v>
      </c>
      <c r="F48" s="2" t="s">
        <v>149</v>
      </c>
      <c r="G48" s="2" t="s">
        <v>150</v>
      </c>
      <c r="H48" s="2" t="s">
        <v>36</v>
      </c>
      <c r="I48" s="2" t="s">
        <v>191</v>
      </c>
      <c r="J48" s="3" t="n">
        <v>10.0</v>
      </c>
      <c r="K48" s="7" t="n">
        <v>0.0</v>
      </c>
      <c r="L48" s="2" t="s">
        <v>21</v>
      </c>
      <c r="M48" s="2" t="s">
        <v>192</v>
      </c>
    </row>
    <row r="49" ht="12.75" customHeight="true">
      <c r="A49" s="5" t="str">
        <f>HYPERLINK("https://devcloud.cn-east-3.huaweicloud.com/projectman/scrum/78b2e310f37c4e28bfb3ef86179ac134/task/detail/713555329","713555329")</f>
        <v>713555329</v>
      </c>
      <c r="B49" s="2" t="s">
        <v>193</v>
      </c>
      <c r="C49" s="2" t="s">
        <v>194</v>
      </c>
      <c r="D49" s="2" t="s">
        <v>98</v>
      </c>
      <c r="E49" s="2" t="s">
        <v>16</v>
      </c>
      <c r="F49" s="2" t="s">
        <v>149</v>
      </c>
      <c r="G49" s="2" t="s">
        <v>150</v>
      </c>
      <c r="H49" s="2" t="s">
        <v>36</v>
      </c>
      <c r="I49" s="2" t="s">
        <v>195</v>
      </c>
      <c r="J49" s="3" t="n">
        <v>2.0</v>
      </c>
      <c r="K49" s="7" t="n">
        <v>0.0</v>
      </c>
      <c r="L49" s="2" t="s">
        <v>21</v>
      </c>
      <c r="M49" s="2" t="s">
        <v>196</v>
      </c>
    </row>
    <row r="50" ht="12.75" customHeight="true">
      <c r="A50" s="5" t="str">
        <f>HYPERLINK("https://devcloud.cn-east-3.huaweicloud.com/projectman/scrum/78b2e310f37c4e28bfb3ef86179ac134/task/detail/713555327","713555327")</f>
        <v>713555327</v>
      </c>
      <c r="B50" s="2" t="s">
        <v>197</v>
      </c>
      <c r="C50" s="2" t="s">
        <v>198</v>
      </c>
      <c r="D50" s="2" t="s">
        <v>98</v>
      </c>
      <c r="E50" s="2" t="s">
        <v>16</v>
      </c>
      <c r="F50" s="2" t="s">
        <v>149</v>
      </c>
      <c r="G50" s="2" t="s">
        <v>150</v>
      </c>
      <c r="H50" s="2" t="s">
        <v>19</v>
      </c>
      <c r="I50" s="2" t="s">
        <v>199</v>
      </c>
      <c r="J50" s="3" t="n">
        <v>34.0</v>
      </c>
      <c r="K50" s="7" t="n">
        <v>0.0</v>
      </c>
      <c r="L50" s="2" t="s">
        <v>21</v>
      </c>
      <c r="M50" s="2" t="s">
        <v>200</v>
      </c>
    </row>
    <row r="51" ht="12.75" customHeight="true">
      <c r="A51" s="5" t="str">
        <f>HYPERLINK("https://devcloud.cn-east-3.huaweicloud.com/projectman/scrum/78b2e310f37c4e28bfb3ef86179ac134/task/detail/713550764","713550764")</f>
        <v>713550764</v>
      </c>
      <c r="B51" s="2" t="s">
        <v>201</v>
      </c>
      <c r="C51" s="2" t="s">
        <v>202</v>
      </c>
      <c r="D51" s="2" t="s">
        <v>98</v>
      </c>
      <c r="E51" s="2" t="s">
        <v>16</v>
      </c>
      <c r="F51" s="2" t="s">
        <v>203</v>
      </c>
      <c r="G51" s="2" t="s">
        <v>204</v>
      </c>
      <c r="H51" s="2" t="s">
        <v>36</v>
      </c>
      <c r="I51" s="2" t="s">
        <v>205</v>
      </c>
      <c r="J51" s="3" t="n">
        <v>0.0</v>
      </c>
      <c r="K51" s="7" t="n">
        <v>0.0</v>
      </c>
      <c r="L51" s="2" t="s">
        <v>21</v>
      </c>
      <c r="M51" s="2" t="s">
        <v>206</v>
      </c>
    </row>
    <row r="52" ht="12.75" customHeight="true">
      <c r="A52" s="5" t="str">
        <f>HYPERLINK("https://devcloud.cn-east-3.huaweicloud.com/projectman/scrum/78b2e310f37c4e28bfb3ef86179ac134/task/detail/713550761","713550761")</f>
        <v>713550761</v>
      </c>
      <c r="B52" s="2" t="s">
        <v>207</v>
      </c>
      <c r="C52" s="2" t="s">
        <v>208</v>
      </c>
      <c r="D52" s="2" t="s">
        <v>98</v>
      </c>
      <c r="E52" s="2" t="s">
        <v>16</v>
      </c>
      <c r="F52" s="2" t="s">
        <v>203</v>
      </c>
      <c r="G52" s="2" t="s">
        <v>209</v>
      </c>
      <c r="H52" s="2" t="s">
        <v>19</v>
      </c>
      <c r="I52" s="2" t="s">
        <v>210</v>
      </c>
      <c r="J52" s="3" t="n">
        <v>0.0</v>
      </c>
      <c r="K52" s="7" t="n">
        <v>0.0</v>
      </c>
      <c r="L52" s="2" t="s">
        <v>21</v>
      </c>
      <c r="M52" s="2" t="s">
        <v>211</v>
      </c>
    </row>
    <row r="53" ht="12.75" customHeight="true">
      <c r="A53" s="5" t="str">
        <f>HYPERLINK("https://devcloud.cn-east-3.huaweicloud.com/projectman/scrum/78b2e310f37c4e28bfb3ef86179ac134/task/detail/713548009","713548009")</f>
        <v>713548009</v>
      </c>
      <c r="B53" s="2" t="s">
        <v>212</v>
      </c>
      <c r="C53" s="2" t="s">
        <v>213</v>
      </c>
      <c r="D53" s="2" t="s">
        <v>98</v>
      </c>
      <c r="E53" s="2" t="s">
        <v>16</v>
      </c>
      <c r="F53" s="2" t="s">
        <v>203</v>
      </c>
      <c r="G53" s="2" t="s">
        <v>204</v>
      </c>
      <c r="H53" s="2" t="s">
        <v>19</v>
      </c>
      <c r="I53" s="2" t="s">
        <v>214</v>
      </c>
      <c r="J53" s="3" t="n">
        <v>12.0</v>
      </c>
      <c r="K53" s="7" t="n">
        <v>0.0</v>
      </c>
      <c r="L53" s="2" t="s">
        <v>21</v>
      </c>
      <c r="M53" s="2" t="s">
        <v>215</v>
      </c>
    </row>
    <row r="54" ht="12.75" customHeight="true">
      <c r="A54" s="5" t="str">
        <f>HYPERLINK("https://devcloud.cn-east-3.huaweicloud.com/projectman/scrum/78b2e310f37c4e28bfb3ef86179ac134/task/detail/713545462","713545462")</f>
        <v>713545462</v>
      </c>
      <c r="B54" s="2" t="s">
        <v>216</v>
      </c>
      <c r="C54" s="2" t="s">
        <v>217</v>
      </c>
      <c r="D54" s="2" t="s">
        <v>98</v>
      </c>
      <c r="E54" s="2" t="s">
        <v>16</v>
      </c>
      <c r="F54" s="2" t="s">
        <v>203</v>
      </c>
      <c r="G54" s="2" t="s">
        <v>204</v>
      </c>
      <c r="H54" s="2" t="s">
        <v>36</v>
      </c>
      <c r="I54" s="2" t="s">
        <v>218</v>
      </c>
      <c r="J54" s="3" t="n">
        <v>8.0</v>
      </c>
      <c r="K54" s="7" t="n">
        <v>0.0</v>
      </c>
      <c r="L54" s="2" t="s">
        <v>21</v>
      </c>
      <c r="M54" s="2" t="s">
        <v>219</v>
      </c>
    </row>
    <row r="55" ht="12.75" customHeight="true">
      <c r="A55" s="5" t="str">
        <f>HYPERLINK("https://devcloud.cn-east-3.huaweicloud.com/projectman/scrum/78b2e310f37c4e28bfb3ef86179ac134/task/detail/713539909","713539909")</f>
        <v>713539909</v>
      </c>
      <c r="B55" s="2" t="s">
        <v>220</v>
      </c>
      <c r="C55" s="2" t="s">
        <v>221</v>
      </c>
      <c r="D55" s="2" t="s">
        <v>98</v>
      </c>
      <c r="E55" s="2" t="s">
        <v>16</v>
      </c>
      <c r="F55" s="2" t="s">
        <v>203</v>
      </c>
      <c r="G55" s="2" t="s">
        <v>204</v>
      </c>
      <c r="H55" s="2" t="s">
        <v>36</v>
      </c>
      <c r="I55" s="2" t="s">
        <v>222</v>
      </c>
      <c r="J55" s="3" t="n">
        <v>4.0</v>
      </c>
      <c r="K55" s="7" t="n">
        <v>0.0</v>
      </c>
      <c r="L55" s="2" t="s">
        <v>21</v>
      </c>
      <c r="M55" s="2" t="s">
        <v>223</v>
      </c>
    </row>
    <row r="56" ht="12.75" customHeight="true">
      <c r="A56" s="5" t="str">
        <f>HYPERLINK("https://devcloud.cn-east-3.huaweicloud.com/projectman/scrum/78b2e310f37c4e28bfb3ef86179ac134/task/detail/713539792","713539792")</f>
        <v>713539792</v>
      </c>
      <c r="B56" s="2" t="s">
        <v>224</v>
      </c>
      <c r="C56" s="2" t="s">
        <v>225</v>
      </c>
      <c r="D56" s="2" t="s">
        <v>98</v>
      </c>
      <c r="E56" s="2" t="s">
        <v>16</v>
      </c>
      <c r="F56" s="2" t="s">
        <v>203</v>
      </c>
      <c r="G56" s="2" t="s">
        <v>204</v>
      </c>
      <c r="H56" s="2" t="s">
        <v>36</v>
      </c>
      <c r="I56" s="2" t="s">
        <v>226</v>
      </c>
      <c r="J56" s="3" t="n">
        <v>14.0</v>
      </c>
      <c r="K56" s="7" t="n">
        <v>0.0</v>
      </c>
      <c r="L56" s="2" t="s">
        <v>21</v>
      </c>
      <c r="M56" s="2" t="s">
        <v>227</v>
      </c>
    </row>
    <row r="57" ht="12.75" customHeight="true">
      <c r="A57" s="5" t="str">
        <f>HYPERLINK("https://devcloud.cn-east-3.huaweicloud.com/projectman/scrum/78b2e310f37c4e28bfb3ef86179ac134/task/detail/713539654","713539654")</f>
        <v>713539654</v>
      </c>
      <c r="B57" s="2" t="s">
        <v>228</v>
      </c>
      <c r="C57" s="2" t="s">
        <v>229</v>
      </c>
      <c r="D57" s="2" t="s">
        <v>98</v>
      </c>
      <c r="E57" s="2" t="s">
        <v>16</v>
      </c>
      <c r="F57" s="2" t="s">
        <v>203</v>
      </c>
      <c r="G57" s="2" t="s">
        <v>204</v>
      </c>
      <c r="H57" s="2" t="s">
        <v>36</v>
      </c>
      <c r="I57" s="2" t="s">
        <v>230</v>
      </c>
      <c r="J57" s="3" t="n">
        <v>4.0</v>
      </c>
      <c r="K57" s="7" t="n">
        <v>0.0</v>
      </c>
      <c r="L57" s="2" t="s">
        <v>21</v>
      </c>
      <c r="M57" s="2" t="s">
        <v>231</v>
      </c>
    </row>
    <row r="58" ht="12.75" customHeight="true">
      <c r="A58" s="5" t="str">
        <f>HYPERLINK("https://devcloud.cn-east-3.huaweicloud.com/projectman/scrum/78b2e310f37c4e28bfb3ef86179ac134/task/detail/713539653","713539653")</f>
        <v>713539653</v>
      </c>
      <c r="B58" s="2" t="s">
        <v>232</v>
      </c>
      <c r="C58" s="2" t="s">
        <v>233</v>
      </c>
      <c r="D58" s="2" t="s">
        <v>98</v>
      </c>
      <c r="E58" s="2" t="s">
        <v>16</v>
      </c>
      <c r="F58" s="2" t="s">
        <v>203</v>
      </c>
      <c r="G58" s="2" t="s">
        <v>204</v>
      </c>
      <c r="H58" s="2" t="s">
        <v>36</v>
      </c>
      <c r="I58" s="2" t="s">
        <v>234</v>
      </c>
      <c r="J58" s="3" t="n">
        <v>6.0</v>
      </c>
      <c r="K58" s="7" t="n">
        <v>0.0</v>
      </c>
      <c r="L58" s="2" t="s">
        <v>21</v>
      </c>
      <c r="M58" s="2" t="s">
        <v>235</v>
      </c>
    </row>
    <row r="59" ht="12.75" customHeight="true">
      <c r="A59" s="5" t="str">
        <f>HYPERLINK("https://devcloud.cn-east-3.huaweicloud.com/projectman/scrum/78b2e310f37c4e28bfb3ef86179ac134/task/detail/713539374","713539374")</f>
        <v>713539374</v>
      </c>
      <c r="B59" s="2" t="s">
        <v>236</v>
      </c>
      <c r="C59" s="2" t="s">
        <v>237</v>
      </c>
      <c r="D59" s="2" t="s">
        <v>98</v>
      </c>
      <c r="E59" s="2" t="s">
        <v>16</v>
      </c>
      <c r="F59" s="2" t="s">
        <v>203</v>
      </c>
      <c r="G59" s="2" t="s">
        <v>204</v>
      </c>
      <c r="H59" s="2" t="s">
        <v>36</v>
      </c>
      <c r="I59" s="2" t="s">
        <v>238</v>
      </c>
      <c r="J59" s="3" t="n">
        <v>6.0</v>
      </c>
      <c r="K59" s="7" t="n">
        <v>0.0</v>
      </c>
      <c r="L59" s="2" t="s">
        <v>21</v>
      </c>
      <c r="M59" s="2" t="s">
        <v>239</v>
      </c>
    </row>
    <row r="60" ht="12.75" customHeight="true">
      <c r="A60" s="5" t="str">
        <f>HYPERLINK("https://devcloud.cn-east-3.huaweicloud.com/projectman/scrum/78b2e310f37c4e28bfb3ef86179ac134/task/detail/713537238","713537238")</f>
        <v>713537238</v>
      </c>
      <c r="B60" s="2" t="s">
        <v>240</v>
      </c>
      <c r="C60" s="2" t="s">
        <v>241</v>
      </c>
      <c r="D60" s="2" t="s">
        <v>98</v>
      </c>
      <c r="E60" s="2" t="s">
        <v>16</v>
      </c>
      <c r="F60" s="2" t="s">
        <v>203</v>
      </c>
      <c r="G60" s="2" t="s">
        <v>204</v>
      </c>
      <c r="H60" s="2" t="s">
        <v>19</v>
      </c>
      <c r="I60" s="2" t="s">
        <v>242</v>
      </c>
      <c r="J60" s="3" t="n">
        <v>7.0</v>
      </c>
      <c r="K60" s="7" t="n">
        <v>0.0</v>
      </c>
      <c r="L60" s="2" t="s">
        <v>21</v>
      </c>
      <c r="M60" s="2" t="s">
        <v>243</v>
      </c>
    </row>
    <row r="61" ht="12.75" customHeight="true">
      <c r="A61" s="5" t="str">
        <f>HYPERLINK("https://devcloud.cn-east-3.huaweicloud.com/projectman/scrum/78b2e310f37c4e28bfb3ef86179ac134/task/detail/713537202","713537202")</f>
        <v>713537202</v>
      </c>
      <c r="B61" s="2" t="s">
        <v>244</v>
      </c>
      <c r="C61" s="2" t="s">
        <v>245</v>
      </c>
      <c r="D61" s="2" t="s">
        <v>98</v>
      </c>
      <c r="E61" s="2" t="s">
        <v>16</v>
      </c>
      <c r="F61" s="2" t="s">
        <v>203</v>
      </c>
      <c r="G61" s="2" t="s">
        <v>204</v>
      </c>
      <c r="H61" s="2" t="s">
        <v>19</v>
      </c>
      <c r="I61" s="2" t="s">
        <v>246</v>
      </c>
      <c r="J61" s="3" t="n">
        <v>10.0</v>
      </c>
      <c r="K61" s="7" t="n">
        <v>0.0</v>
      </c>
      <c r="L61" s="2" t="s">
        <v>21</v>
      </c>
      <c r="M61" s="2" t="s">
        <v>247</v>
      </c>
    </row>
    <row r="62" ht="12.75" customHeight="true">
      <c r="A62" s="5" t="str">
        <f>HYPERLINK("https://devcloud.cn-east-3.huaweicloud.com/projectman/scrum/78b2e310f37c4e28bfb3ef86179ac134/task/detail/713537201","713537201")</f>
        <v>713537201</v>
      </c>
      <c r="B62" s="2" t="s">
        <v>248</v>
      </c>
      <c r="C62" s="2" t="s">
        <v>249</v>
      </c>
      <c r="D62" s="2" t="s">
        <v>98</v>
      </c>
      <c r="E62" s="2" t="s">
        <v>16</v>
      </c>
      <c r="F62" s="2" t="s">
        <v>203</v>
      </c>
      <c r="G62" s="2" t="s">
        <v>204</v>
      </c>
      <c r="H62" s="2" t="s">
        <v>19</v>
      </c>
      <c r="I62" s="2" t="s">
        <v>250</v>
      </c>
      <c r="J62" s="3" t="n">
        <v>4.0</v>
      </c>
      <c r="K62" s="7" t="n">
        <v>0.0</v>
      </c>
      <c r="L62" s="2" t="s">
        <v>21</v>
      </c>
      <c r="M62" s="2" t="s">
        <v>251</v>
      </c>
    </row>
    <row r="63" ht="12.75" customHeight="true">
      <c r="A63" s="5" t="str">
        <f>HYPERLINK("https://devcloud.cn-east-3.huaweicloud.com/projectman/scrum/78b2e310f37c4e28bfb3ef86179ac134/task/detail/713537196","713537196")</f>
        <v>713537196</v>
      </c>
      <c r="B63" s="2" t="s">
        <v>252</v>
      </c>
      <c r="C63" s="2" t="s">
        <v>253</v>
      </c>
      <c r="D63" s="2" t="s">
        <v>98</v>
      </c>
      <c r="E63" s="2" t="s">
        <v>16</v>
      </c>
      <c r="F63" s="2" t="s">
        <v>203</v>
      </c>
      <c r="G63" s="2" t="s">
        <v>204</v>
      </c>
      <c r="H63" s="2" t="s">
        <v>19</v>
      </c>
      <c r="I63" s="2" t="s">
        <v>254</v>
      </c>
      <c r="J63" s="3" t="n">
        <v>4.0</v>
      </c>
      <c r="K63" s="7" t="n">
        <v>0.0</v>
      </c>
      <c r="L63" s="2" t="s">
        <v>21</v>
      </c>
      <c r="M63" s="2" t="s">
        <v>255</v>
      </c>
    </row>
    <row r="64" ht="12.75" customHeight="true">
      <c r="A64" s="5" t="str">
        <f>HYPERLINK("https://devcloud.cn-east-3.huaweicloud.com/projectman/scrum/78b2e310f37c4e28bfb3ef86179ac134/task/detail/713537123","713537123")</f>
        <v>713537123</v>
      </c>
      <c r="B64" s="2" t="s">
        <v>256</v>
      </c>
      <c r="C64" s="2" t="s">
        <v>257</v>
      </c>
      <c r="D64" s="2" t="s">
        <v>98</v>
      </c>
      <c r="E64" s="2" t="s">
        <v>16</v>
      </c>
      <c r="F64" s="2" t="s">
        <v>203</v>
      </c>
      <c r="G64" s="2" t="s">
        <v>204</v>
      </c>
      <c r="H64" s="2" t="s">
        <v>19</v>
      </c>
      <c r="I64" s="2" t="s">
        <v>258</v>
      </c>
      <c r="J64" s="3" t="n">
        <v>6.0</v>
      </c>
      <c r="K64" s="7" t="n">
        <v>0.0</v>
      </c>
      <c r="L64" s="2" t="s">
        <v>21</v>
      </c>
      <c r="M64" s="2" t="s">
        <v>259</v>
      </c>
    </row>
    <row r="65" ht="12.75" customHeight="true">
      <c r="A65" s="5" t="str">
        <f>HYPERLINK("https://devcloud.cn-east-3.huaweicloud.com/projectman/scrum/78b2e310f37c4e28bfb3ef86179ac134/task/detail/713537099","713537099")</f>
        <v>713537099</v>
      </c>
      <c r="B65" s="2" t="s">
        <v>260</v>
      </c>
      <c r="C65" s="2" t="s">
        <v>261</v>
      </c>
      <c r="D65" s="2" t="s">
        <v>98</v>
      </c>
      <c r="E65" s="2" t="s">
        <v>16</v>
      </c>
      <c r="F65" s="2" t="s">
        <v>203</v>
      </c>
      <c r="G65" s="2" t="s">
        <v>204</v>
      </c>
      <c r="H65" s="2" t="s">
        <v>19</v>
      </c>
      <c r="I65" s="2" t="s">
        <v>262</v>
      </c>
      <c r="J65" s="3" t="n">
        <v>8.0</v>
      </c>
      <c r="K65" s="7" t="n">
        <v>0.0</v>
      </c>
      <c r="L65" s="2" t="s">
        <v>21</v>
      </c>
      <c r="M65" s="2" t="s">
        <v>263</v>
      </c>
    </row>
    <row r="66" ht="12.75" customHeight="true">
      <c r="A66" s="5" t="str">
        <f>HYPERLINK("https://devcloud.cn-east-3.huaweicloud.com/projectman/scrum/78b2e310f37c4e28bfb3ef86179ac134/task/detail/713525362","713525362")</f>
        <v>713525362</v>
      </c>
      <c r="B66" s="2" t="s">
        <v>264</v>
      </c>
      <c r="C66" s="2" t="s">
        <v>265</v>
      </c>
      <c r="D66" s="2" t="s">
        <v>98</v>
      </c>
      <c r="E66" s="2" t="s">
        <v>16</v>
      </c>
      <c r="F66" s="2" t="s">
        <v>266</v>
      </c>
      <c r="G66" s="2" t="s">
        <v>267</v>
      </c>
      <c r="H66" s="2" t="s">
        <v>36</v>
      </c>
      <c r="I66" s="2" t="s">
        <v>268</v>
      </c>
      <c r="J66" s="3" t="n">
        <v>4.0</v>
      </c>
      <c r="K66" s="7" t="n">
        <v>0.0</v>
      </c>
      <c r="L66" s="2" t="s">
        <v>21</v>
      </c>
      <c r="M66" s="2" t="s">
        <v>269</v>
      </c>
    </row>
    <row r="67" ht="12.75" customHeight="true">
      <c r="A67" s="5" t="str">
        <f>HYPERLINK("https://devcloud.cn-east-3.huaweicloud.com/projectman/scrum/78b2e310f37c4e28bfb3ef86179ac134/task/detail/713523334","713523334")</f>
        <v>713523334</v>
      </c>
      <c r="B67" s="2" t="s">
        <v>270</v>
      </c>
      <c r="C67" s="2" t="s">
        <v>271</v>
      </c>
      <c r="D67" s="2" t="s">
        <v>98</v>
      </c>
      <c r="E67" s="2" t="s">
        <v>16</v>
      </c>
      <c r="F67" s="2" t="s">
        <v>266</v>
      </c>
      <c r="G67" s="2" t="s">
        <v>267</v>
      </c>
      <c r="H67" s="2" t="s">
        <v>19</v>
      </c>
      <c r="I67" s="2" t="s">
        <v>272</v>
      </c>
      <c r="J67" s="3" t="n">
        <v>8.0</v>
      </c>
      <c r="K67" s="7" t="n">
        <v>0.0</v>
      </c>
      <c r="L67" s="2" t="s">
        <v>21</v>
      </c>
      <c r="M67" s="2" t="s">
        <v>273</v>
      </c>
    </row>
    <row r="68" ht="12.75" customHeight="true">
      <c r="A68" s="5" t="str">
        <f>HYPERLINK("https://devcloud.cn-east-3.huaweicloud.com/projectman/scrum/78b2e310f37c4e28bfb3ef86179ac134/task/detail/713522274","713522274")</f>
        <v>713522274</v>
      </c>
      <c r="B68" s="2" t="s">
        <v>274</v>
      </c>
      <c r="C68" s="2" t="s">
        <v>275</v>
      </c>
      <c r="D68" s="2" t="s">
        <v>98</v>
      </c>
      <c r="E68" s="2" t="s">
        <v>16</v>
      </c>
      <c r="F68" s="2" t="s">
        <v>266</v>
      </c>
      <c r="G68" s="2" t="s">
        <v>267</v>
      </c>
      <c r="H68" s="2" t="s">
        <v>19</v>
      </c>
      <c r="I68" s="2" t="s">
        <v>276</v>
      </c>
      <c r="J68" s="3" t="n">
        <v>6.0</v>
      </c>
      <c r="K68" s="7" t="n">
        <v>0.0</v>
      </c>
      <c r="L68" s="2" t="s">
        <v>21</v>
      </c>
      <c r="M68" s="2" t="s">
        <v>277</v>
      </c>
    </row>
    <row r="69" ht="12.75" customHeight="true">
      <c r="A69" s="5" t="str">
        <f>HYPERLINK("https://devcloud.cn-east-3.huaweicloud.com/projectman/scrum/78b2e310f37c4e28bfb3ef86179ac134/task/detail/713522272","713522272")</f>
        <v>713522272</v>
      </c>
      <c r="B69" s="2" t="s">
        <v>278</v>
      </c>
      <c r="C69" s="2" t="s">
        <v>279</v>
      </c>
      <c r="D69" s="2" t="s">
        <v>98</v>
      </c>
      <c r="E69" s="2" t="s">
        <v>16</v>
      </c>
      <c r="F69" s="2" t="s">
        <v>266</v>
      </c>
      <c r="G69" s="2" t="s">
        <v>267</v>
      </c>
      <c r="H69" s="2" t="s">
        <v>19</v>
      </c>
      <c r="I69" s="2" t="s">
        <v>280</v>
      </c>
      <c r="J69" s="3" t="n">
        <v>22.0</v>
      </c>
      <c r="K69" s="7" t="n">
        <v>0.0</v>
      </c>
      <c r="L69" s="2" t="s">
        <v>21</v>
      </c>
      <c r="M69" s="2" t="s">
        <v>281</v>
      </c>
    </row>
    <row r="70" ht="12.75" customHeight="true">
      <c r="A70" s="5" t="str">
        <f>HYPERLINK("https://devcloud.cn-east-3.huaweicloud.com/projectman/scrum/78b2e310f37c4e28bfb3ef86179ac134/task/detail/713521363","713521363")</f>
        <v>713521363</v>
      </c>
      <c r="B70" s="2" t="s">
        <v>282</v>
      </c>
      <c r="C70" s="2" t="s">
        <v>283</v>
      </c>
      <c r="D70" s="2" t="s">
        <v>98</v>
      </c>
      <c r="E70" s="2" t="s">
        <v>16</v>
      </c>
      <c r="F70" s="2" t="s">
        <v>266</v>
      </c>
      <c r="G70" s="2" t="s">
        <v>267</v>
      </c>
      <c r="H70" s="2" t="s">
        <v>19</v>
      </c>
      <c r="I70" s="2" t="s">
        <v>284</v>
      </c>
      <c r="J70" s="3" t="n">
        <v>10.0</v>
      </c>
      <c r="K70" s="7" t="n">
        <v>0.0</v>
      </c>
      <c r="L70" s="2" t="s">
        <v>21</v>
      </c>
      <c r="M70" s="2" t="s">
        <v>285</v>
      </c>
    </row>
    <row r="71" ht="12.75" customHeight="true">
      <c r="A71" s="5" t="str">
        <f>HYPERLINK("https://devcloud.cn-east-3.huaweicloud.com/projectman/scrum/78b2e310f37c4e28bfb3ef86179ac134/task/detail/713521235","713521235")</f>
        <v>713521235</v>
      </c>
      <c r="B71" s="2" t="s">
        <v>286</v>
      </c>
      <c r="C71" s="2" t="s">
        <v>287</v>
      </c>
      <c r="D71" s="2" t="s">
        <v>98</v>
      </c>
      <c r="E71" s="2" t="s">
        <v>16</v>
      </c>
      <c r="F71" s="2" t="s">
        <v>266</v>
      </c>
      <c r="G71" s="2" t="s">
        <v>267</v>
      </c>
      <c r="H71" s="2" t="s">
        <v>36</v>
      </c>
      <c r="I71" s="2" t="s">
        <v>288</v>
      </c>
      <c r="J71" s="3" t="n">
        <v>2.0</v>
      </c>
      <c r="K71" s="7" t="n">
        <v>0.0</v>
      </c>
      <c r="L71" s="2" t="s">
        <v>21</v>
      </c>
      <c r="M71" s="2" t="s">
        <v>289</v>
      </c>
    </row>
    <row r="72" ht="12.75" customHeight="true">
      <c r="A72" s="5" t="str">
        <f>HYPERLINK("https://devcloud.cn-east-3.huaweicloud.com/projectman/scrum/78b2e310f37c4e28bfb3ef86179ac134/task/detail/713520979","713520979")</f>
        <v>713520979</v>
      </c>
      <c r="B72" s="2" t="s">
        <v>290</v>
      </c>
      <c r="C72" s="2" t="s">
        <v>291</v>
      </c>
      <c r="D72" s="2" t="s">
        <v>98</v>
      </c>
      <c r="E72" s="2" t="s">
        <v>16</v>
      </c>
      <c r="F72" s="2" t="s">
        <v>266</v>
      </c>
      <c r="G72" s="2" t="s">
        <v>267</v>
      </c>
      <c r="H72" s="2" t="s">
        <v>36</v>
      </c>
      <c r="I72" s="2" t="s">
        <v>292</v>
      </c>
      <c r="J72" s="3" t="n">
        <v>2.0</v>
      </c>
      <c r="K72" s="7" t="n">
        <v>0.0</v>
      </c>
      <c r="L72" s="2" t="s">
        <v>21</v>
      </c>
      <c r="M72" s="2" t="s">
        <v>293</v>
      </c>
    </row>
    <row r="73" ht="12.75" customHeight="true">
      <c r="A73" s="5" t="str">
        <f>HYPERLINK("https://devcloud.cn-east-3.huaweicloud.com/projectman/scrum/78b2e310f37c4e28bfb3ef86179ac134/task/detail/713520911","713520911")</f>
        <v>713520911</v>
      </c>
      <c r="B73" s="2" t="s">
        <v>294</v>
      </c>
      <c r="C73" s="2" t="s">
        <v>295</v>
      </c>
      <c r="D73" s="2" t="s">
        <v>98</v>
      </c>
      <c r="E73" s="2" t="s">
        <v>16</v>
      </c>
      <c r="F73" s="2" t="s">
        <v>266</v>
      </c>
      <c r="G73" s="2" t="s">
        <v>267</v>
      </c>
      <c r="H73" s="2" t="s">
        <v>19</v>
      </c>
      <c r="I73" s="2" t="s">
        <v>296</v>
      </c>
      <c r="J73" s="3" t="n">
        <v>20.0</v>
      </c>
      <c r="K73" s="7" t="n">
        <v>0.0</v>
      </c>
      <c r="L73" s="2" t="s">
        <v>21</v>
      </c>
      <c r="M73" s="2" t="s">
        <v>297</v>
      </c>
    </row>
    <row r="74" ht="12.75" customHeight="true">
      <c r="A74" s="5" t="str">
        <f>HYPERLINK("https://devcloud.cn-east-3.huaweicloud.com/projectman/scrum/78b2e310f37c4e28bfb3ef86179ac134/task/detail/713518867","713518867")</f>
        <v>713518867</v>
      </c>
      <c r="B74" s="2" t="s">
        <v>298</v>
      </c>
      <c r="C74" s="2" t="s">
        <v>299</v>
      </c>
      <c r="D74" s="2" t="s">
        <v>98</v>
      </c>
      <c r="E74" s="2" t="s">
        <v>16</v>
      </c>
      <c r="F74" s="2" t="s">
        <v>300</v>
      </c>
      <c r="G74" s="2" t="s">
        <v>301</v>
      </c>
      <c r="H74" s="2" t="s">
        <v>36</v>
      </c>
      <c r="I74" s="2" t="s">
        <v>302</v>
      </c>
      <c r="J74" s="3" t="n">
        <v>4.0</v>
      </c>
      <c r="K74" s="7" t="n">
        <v>0.0</v>
      </c>
      <c r="L74" s="2" t="s">
        <v>21</v>
      </c>
      <c r="M74" s="2" t="s">
        <v>303</v>
      </c>
    </row>
    <row r="75" ht="12.75" customHeight="true">
      <c r="A75" s="5" t="str">
        <f>HYPERLINK("https://devcloud.cn-east-3.huaweicloud.com/projectman/scrum/78b2e310f37c4e28bfb3ef86179ac134/task/detail/713518626","713518626")</f>
        <v>713518626</v>
      </c>
      <c r="B75" s="2" t="s">
        <v>304</v>
      </c>
      <c r="C75" s="2" t="s">
        <v>305</v>
      </c>
      <c r="D75" s="2" t="s">
        <v>98</v>
      </c>
      <c r="E75" s="2" t="s">
        <v>16</v>
      </c>
      <c r="F75" s="2" t="s">
        <v>300</v>
      </c>
      <c r="G75" s="2" t="s">
        <v>301</v>
      </c>
      <c r="H75" s="2" t="s">
        <v>36</v>
      </c>
      <c r="I75" s="2" t="s">
        <v>306</v>
      </c>
      <c r="J75" s="3" t="n">
        <v>6.0</v>
      </c>
      <c r="K75" s="7" t="n">
        <v>0.0</v>
      </c>
      <c r="L75" s="2" t="s">
        <v>21</v>
      </c>
      <c r="M75" s="2" t="s">
        <v>307</v>
      </c>
    </row>
    <row r="76" ht="12.75" customHeight="true">
      <c r="A76" s="5" t="str">
        <f>HYPERLINK("https://devcloud.cn-east-3.huaweicloud.com/projectman/scrum/78b2e310f37c4e28bfb3ef86179ac134/task/detail/713516790","713516790")</f>
        <v>713516790</v>
      </c>
      <c r="B76" s="2" t="s">
        <v>308</v>
      </c>
      <c r="C76" s="2" t="s">
        <v>309</v>
      </c>
      <c r="D76" s="2" t="s">
        <v>98</v>
      </c>
      <c r="E76" s="2" t="s">
        <v>16</v>
      </c>
      <c r="F76" s="2" t="s">
        <v>300</v>
      </c>
      <c r="G76" s="2" t="s">
        <v>301</v>
      </c>
      <c r="H76" s="2" t="s">
        <v>36</v>
      </c>
      <c r="I76" s="2" t="s">
        <v>310</v>
      </c>
      <c r="J76" s="3" t="n">
        <v>6.0</v>
      </c>
      <c r="K76" s="7" t="n">
        <v>0.0</v>
      </c>
      <c r="L76" s="2" t="s">
        <v>21</v>
      </c>
      <c r="M76" s="2" t="s">
        <v>311</v>
      </c>
    </row>
    <row r="77" ht="12.75" customHeight="true">
      <c r="A77" s="5" t="str">
        <f>HYPERLINK("https://devcloud.cn-east-3.huaweicloud.com/projectman/scrum/78b2e310f37c4e28bfb3ef86179ac134/task/detail/713514916","713514916")</f>
        <v>713514916</v>
      </c>
      <c r="B77" s="2" t="s">
        <v>312</v>
      </c>
      <c r="C77" s="2" t="s">
        <v>313</v>
      </c>
      <c r="D77" s="2" t="s">
        <v>98</v>
      </c>
      <c r="E77" s="2" t="s">
        <v>16</v>
      </c>
      <c r="F77" s="2" t="s">
        <v>266</v>
      </c>
      <c r="G77" s="2" t="s">
        <v>267</v>
      </c>
      <c r="H77" s="2" t="s">
        <v>19</v>
      </c>
      <c r="I77" s="2" t="s">
        <v>314</v>
      </c>
      <c r="J77" s="3" t="n">
        <v>27.0</v>
      </c>
      <c r="K77" s="7" t="n">
        <v>0.0</v>
      </c>
      <c r="L77" s="2" t="s">
        <v>21</v>
      </c>
      <c r="M77" s="2" t="s">
        <v>315</v>
      </c>
    </row>
    <row r="78" ht="12.75" customHeight="true">
      <c r="A78" s="5" t="str">
        <f>HYPERLINK("https://devcloud.cn-east-3.huaweicloud.com/projectman/scrum/78b2e310f37c4e28bfb3ef86179ac134/task/detail/713514910","713514910")</f>
        <v>713514910</v>
      </c>
      <c r="B78" s="2" t="s">
        <v>316</v>
      </c>
      <c r="C78" s="2" t="s">
        <v>317</v>
      </c>
      <c r="D78" s="2" t="s">
        <v>98</v>
      </c>
      <c r="E78" s="2" t="s">
        <v>16</v>
      </c>
      <c r="F78" s="2" t="s">
        <v>266</v>
      </c>
      <c r="G78" s="2" t="s">
        <v>267</v>
      </c>
      <c r="H78" s="2" t="s">
        <v>36</v>
      </c>
      <c r="I78" s="2" t="s">
        <v>318</v>
      </c>
      <c r="J78" s="3" t="n">
        <v>9.0</v>
      </c>
      <c r="K78" s="7" t="n">
        <v>0.0</v>
      </c>
      <c r="L78" s="2" t="s">
        <v>21</v>
      </c>
      <c r="M78" s="2" t="s">
        <v>319</v>
      </c>
    </row>
    <row r="79" ht="12.75" customHeight="true">
      <c r="A79" s="5" t="str">
        <f>HYPERLINK("https://devcloud.cn-east-3.huaweicloud.com/projectman/scrum/78b2e310f37c4e28bfb3ef86179ac134/task/detail/713514909","713514909")</f>
        <v>713514909</v>
      </c>
      <c r="B79" s="2" t="s">
        <v>320</v>
      </c>
      <c r="C79" s="2" t="s">
        <v>321</v>
      </c>
      <c r="D79" s="2" t="s">
        <v>98</v>
      </c>
      <c r="E79" s="2" t="s">
        <v>16</v>
      </c>
      <c r="F79" s="2" t="s">
        <v>266</v>
      </c>
      <c r="G79" s="2" t="s">
        <v>267</v>
      </c>
      <c r="H79" s="2" t="s">
        <v>36</v>
      </c>
      <c r="I79" s="2" t="s">
        <v>322</v>
      </c>
      <c r="J79" s="3" t="n">
        <v>6.0</v>
      </c>
      <c r="K79" s="7" t="n">
        <v>0.0</v>
      </c>
      <c r="L79" s="2" t="s">
        <v>21</v>
      </c>
      <c r="M79" s="2" t="s">
        <v>323</v>
      </c>
    </row>
    <row r="80" ht="12.75" customHeight="true">
      <c r="A80" s="5" t="str">
        <f>HYPERLINK("https://devcloud.cn-east-3.huaweicloud.com/projectman/scrum/78b2e310f37c4e28bfb3ef86179ac134/task/detail/713514905","713514905")</f>
        <v>713514905</v>
      </c>
      <c r="B80" s="2" t="s">
        <v>324</v>
      </c>
      <c r="C80" s="2" t="s">
        <v>325</v>
      </c>
      <c r="D80" s="2" t="s">
        <v>98</v>
      </c>
      <c r="E80" s="2" t="s">
        <v>16</v>
      </c>
      <c r="F80" s="2" t="s">
        <v>266</v>
      </c>
      <c r="G80" s="2" t="s">
        <v>326</v>
      </c>
      <c r="H80" s="2" t="s">
        <v>36</v>
      </c>
      <c r="I80" s="2" t="s">
        <v>327</v>
      </c>
      <c r="J80" s="3" t="n">
        <v>18.0</v>
      </c>
      <c r="K80" s="7" t="n">
        <v>0.0</v>
      </c>
      <c r="L80" s="2" t="s">
        <v>21</v>
      </c>
      <c r="M80" s="2" t="s">
        <v>328</v>
      </c>
    </row>
    <row r="81" ht="12.75" customHeight="true">
      <c r="A81" s="5" t="str">
        <f>HYPERLINK("https://devcloud.cn-east-3.huaweicloud.com/projectman/scrum/78b2e310f37c4e28bfb3ef86179ac134/task/detail/713512471","713512471")</f>
        <v>713512471</v>
      </c>
      <c r="B81" s="2" t="s">
        <v>329</v>
      </c>
      <c r="C81" s="2" t="s">
        <v>330</v>
      </c>
      <c r="D81" s="2" t="s">
        <v>98</v>
      </c>
      <c r="E81" s="2" t="s">
        <v>16</v>
      </c>
      <c r="F81" s="2" t="s">
        <v>331</v>
      </c>
      <c r="G81" s="2" t="s">
        <v>332</v>
      </c>
      <c r="H81" s="2" t="s">
        <v>36</v>
      </c>
      <c r="I81" s="2" t="s">
        <v>333</v>
      </c>
      <c r="J81" s="3" t="n">
        <v>4.0</v>
      </c>
      <c r="K81" s="7" t="n">
        <v>0.0</v>
      </c>
      <c r="L81" s="2" t="s">
        <v>21</v>
      </c>
      <c r="M81" s="2" t="s">
        <v>334</v>
      </c>
    </row>
    <row r="82" ht="12.75" customHeight="true">
      <c r="A82" s="5" t="str">
        <f>HYPERLINK("https://devcloud.cn-east-3.huaweicloud.com/projectman/scrum/78b2e310f37c4e28bfb3ef86179ac134/task/detail/713507854","713507854")</f>
        <v>713507854</v>
      </c>
      <c r="B82" s="2" t="s">
        <v>335</v>
      </c>
      <c r="C82" s="2" t="s">
        <v>336</v>
      </c>
      <c r="D82" s="2" t="s">
        <v>98</v>
      </c>
      <c r="E82" s="2" t="s">
        <v>16</v>
      </c>
      <c r="F82" s="2" t="s">
        <v>300</v>
      </c>
      <c r="G82" s="2" t="s">
        <v>301</v>
      </c>
      <c r="H82" s="2" t="s">
        <v>36</v>
      </c>
      <c r="I82" s="2" t="s">
        <v>337</v>
      </c>
      <c r="J82" s="3" t="n">
        <v>6.0</v>
      </c>
      <c r="K82" s="7" t="n">
        <v>0.0</v>
      </c>
      <c r="L82" s="2" t="s">
        <v>21</v>
      </c>
      <c r="M82" s="2" t="s">
        <v>338</v>
      </c>
    </row>
    <row r="83" ht="12.75" customHeight="true">
      <c r="A83" s="5" t="str">
        <f>HYPERLINK("https://devcloud.cn-east-3.huaweicloud.com/projectman/scrum/78b2e310f37c4e28bfb3ef86179ac134/task/detail/713498553","713498553")</f>
        <v>713498553</v>
      </c>
      <c r="B83" s="2" t="s">
        <v>339</v>
      </c>
      <c r="C83" s="2" t="s">
        <v>340</v>
      </c>
      <c r="D83" s="2" t="s">
        <v>98</v>
      </c>
      <c r="E83" s="2" t="s">
        <v>16</v>
      </c>
      <c r="F83" s="2" t="s">
        <v>300</v>
      </c>
      <c r="G83" s="2" t="s">
        <v>301</v>
      </c>
      <c r="H83" s="2" t="s">
        <v>36</v>
      </c>
      <c r="I83" s="2" t="s">
        <v>341</v>
      </c>
      <c r="J83" s="3" t="n">
        <v>18.0</v>
      </c>
      <c r="K83" s="7" t="n">
        <v>0.0</v>
      </c>
      <c r="L83" s="2" t="s">
        <v>21</v>
      </c>
      <c r="M83" s="2" t="s">
        <v>342</v>
      </c>
    </row>
    <row r="84" ht="12.75" customHeight="true">
      <c r="A84" s="5" t="str">
        <f>HYPERLINK("https://devcloud.cn-east-3.huaweicloud.com/projectman/scrum/78b2e310f37c4e28bfb3ef86179ac134/task/detail/713498546","713498546")</f>
        <v>713498546</v>
      </c>
      <c r="B84" s="2" t="s">
        <v>343</v>
      </c>
      <c r="C84" s="2" t="s">
        <v>344</v>
      </c>
      <c r="D84" s="2" t="s">
        <v>98</v>
      </c>
      <c r="E84" s="2" t="s">
        <v>16</v>
      </c>
      <c r="F84" s="2" t="s">
        <v>300</v>
      </c>
      <c r="G84" s="2" t="s">
        <v>301</v>
      </c>
      <c r="H84" s="2" t="s">
        <v>345</v>
      </c>
      <c r="I84" s="2" t="s">
        <v>346</v>
      </c>
      <c r="J84" s="3" t="n">
        <v>26.0</v>
      </c>
      <c r="K84" s="7" t="n">
        <v>0.0</v>
      </c>
      <c r="L84" s="2" t="s">
        <v>21</v>
      </c>
      <c r="M84" s="2" t="s">
        <v>347</v>
      </c>
    </row>
    <row r="85" ht="12.75" customHeight="true">
      <c r="A85" s="5" t="str">
        <f>HYPERLINK("https://devcloud.cn-east-3.huaweicloud.com/projectman/scrum/78b2e310f37c4e28bfb3ef86179ac134/task/detail/713495189","713495189")</f>
        <v>713495189</v>
      </c>
      <c r="B85" s="2" t="s">
        <v>348</v>
      </c>
      <c r="C85" s="2" t="s">
        <v>349</v>
      </c>
      <c r="D85" s="2" t="s">
        <v>98</v>
      </c>
      <c r="E85" s="2" t="s">
        <v>16</v>
      </c>
      <c r="F85" s="2" t="s">
        <v>300</v>
      </c>
      <c r="G85" s="2" t="s">
        <v>301</v>
      </c>
      <c r="H85" s="2" t="s">
        <v>36</v>
      </c>
      <c r="I85" s="2" t="s">
        <v>350</v>
      </c>
      <c r="J85" s="3" t="n">
        <v>9.0</v>
      </c>
      <c r="K85" s="7" t="n">
        <v>0.0</v>
      </c>
      <c r="L85" s="2" t="s">
        <v>21</v>
      </c>
      <c r="M85" s="2" t="s">
        <v>351</v>
      </c>
    </row>
    <row r="86" ht="12.75" customHeight="true">
      <c r="A86" s="5" t="str">
        <f>HYPERLINK("https://devcloud.cn-east-3.huaweicloud.com/projectman/scrum/78b2e310f37c4e28bfb3ef86179ac134/task/detail/713494688","713494688")</f>
        <v>713494688</v>
      </c>
      <c r="B86" s="2" t="s">
        <v>352</v>
      </c>
      <c r="C86" s="2" t="s">
        <v>353</v>
      </c>
      <c r="D86" s="2" t="s">
        <v>98</v>
      </c>
      <c r="E86" s="2" t="s">
        <v>16</v>
      </c>
      <c r="F86" s="2" t="s">
        <v>300</v>
      </c>
      <c r="G86" s="2" t="s">
        <v>301</v>
      </c>
      <c r="H86" s="2" t="s">
        <v>36</v>
      </c>
      <c r="I86" s="2" t="s">
        <v>354</v>
      </c>
      <c r="J86" s="3" t="n">
        <v>8.0</v>
      </c>
      <c r="K86" s="7" t="n">
        <v>0.0</v>
      </c>
      <c r="L86" s="2" t="s">
        <v>21</v>
      </c>
      <c r="M86" s="2" t="s">
        <v>355</v>
      </c>
    </row>
    <row r="87" ht="12.75" customHeight="true">
      <c r="A87" s="5" t="str">
        <f>HYPERLINK("https://devcloud.cn-east-3.huaweicloud.com/projectman/scrum/78b2e310f37c4e28bfb3ef86179ac134/task/detail/713494687","713494687")</f>
        <v>713494687</v>
      </c>
      <c r="B87" s="2" t="s">
        <v>356</v>
      </c>
      <c r="C87" s="2" t="s">
        <v>357</v>
      </c>
      <c r="D87" s="2" t="s">
        <v>98</v>
      </c>
      <c r="E87" s="2" t="s">
        <v>16</v>
      </c>
      <c r="F87" s="2" t="s">
        <v>300</v>
      </c>
      <c r="G87" s="2" t="s">
        <v>301</v>
      </c>
      <c r="H87" s="2" t="s">
        <v>36</v>
      </c>
      <c r="I87" s="2" t="s">
        <v>358</v>
      </c>
      <c r="J87" s="3" t="n">
        <v>20.0</v>
      </c>
      <c r="K87" s="7" t="n">
        <v>0.0</v>
      </c>
      <c r="L87" s="2" t="s">
        <v>21</v>
      </c>
      <c r="M87" s="2" t="s">
        <v>359</v>
      </c>
    </row>
    <row r="88" ht="12.75" customHeight="true">
      <c r="A88" s="5" t="str">
        <f>HYPERLINK("https://devcloud.cn-east-3.huaweicloud.com/projectman/scrum/78b2e310f37c4e28bfb3ef86179ac134/task/detail/713494686","713494686")</f>
        <v>713494686</v>
      </c>
      <c r="B88" s="2" t="s">
        <v>360</v>
      </c>
      <c r="C88" s="2" t="s">
        <v>361</v>
      </c>
      <c r="D88" s="2" t="s">
        <v>98</v>
      </c>
      <c r="E88" s="2" t="s">
        <v>16</v>
      </c>
      <c r="F88" s="2" t="s">
        <v>300</v>
      </c>
      <c r="G88" s="2" t="s">
        <v>301</v>
      </c>
      <c r="H88" s="2" t="s">
        <v>36</v>
      </c>
      <c r="I88" s="2" t="s">
        <v>362</v>
      </c>
      <c r="J88" s="3" t="n">
        <v>16.0</v>
      </c>
      <c r="K88" s="7" t="n">
        <v>0.0</v>
      </c>
      <c r="L88" s="2" t="s">
        <v>21</v>
      </c>
      <c r="M88" s="2" t="s">
        <v>363</v>
      </c>
    </row>
    <row r="89" ht="12.75" customHeight="true">
      <c r="A89" s="5" t="str">
        <f>HYPERLINK("https://devcloud.cn-east-3.huaweicloud.com/projectman/scrum/78b2e310f37c4e28bfb3ef86179ac134/task/detail/713494685","713494685")</f>
        <v>713494685</v>
      </c>
      <c r="B89" s="2" t="s">
        <v>364</v>
      </c>
      <c r="C89" s="2" t="s">
        <v>365</v>
      </c>
      <c r="D89" s="2" t="s">
        <v>98</v>
      </c>
      <c r="E89" s="2" t="s">
        <v>16</v>
      </c>
      <c r="F89" s="2" t="s">
        <v>300</v>
      </c>
      <c r="G89" s="2" t="s">
        <v>301</v>
      </c>
      <c r="H89" s="2" t="s">
        <v>36</v>
      </c>
      <c r="I89" s="2" t="s">
        <v>366</v>
      </c>
      <c r="J89" s="3" t="n">
        <v>22.0</v>
      </c>
      <c r="K89" s="7" t="n">
        <v>0.0</v>
      </c>
      <c r="L89" s="2" t="s">
        <v>21</v>
      </c>
      <c r="M89" s="2" t="s">
        <v>367</v>
      </c>
    </row>
    <row r="90" ht="12.75" customHeight="true">
      <c r="A90" s="5" t="str">
        <f>HYPERLINK("https://devcloud.cn-east-3.huaweicloud.com/projectman/scrum/78b2e310f37c4e28bfb3ef86179ac134/task/detail/713494683","713494683")</f>
        <v>713494683</v>
      </c>
      <c r="B90" s="2" t="s">
        <v>368</v>
      </c>
      <c r="C90" s="2" t="s">
        <v>369</v>
      </c>
      <c r="D90" s="2" t="s">
        <v>98</v>
      </c>
      <c r="E90" s="2" t="s">
        <v>16</v>
      </c>
      <c r="F90" s="2" t="s">
        <v>300</v>
      </c>
      <c r="G90" s="2" t="s">
        <v>301</v>
      </c>
      <c r="H90" s="2" t="s">
        <v>36</v>
      </c>
      <c r="I90" s="2" t="s">
        <v>370</v>
      </c>
      <c r="J90" s="3" t="n">
        <v>24.0</v>
      </c>
      <c r="K90" s="7" t="n">
        <v>0.0</v>
      </c>
      <c r="L90" s="2" t="s">
        <v>21</v>
      </c>
      <c r="M90" s="2" t="s">
        <v>371</v>
      </c>
    </row>
    <row r="91" ht="12.75" customHeight="true">
      <c r="A91" s="5" t="str">
        <f>HYPERLINK("https://devcloud.cn-east-3.huaweicloud.com/projectman/scrum/78b2e310f37c4e28bfb3ef86179ac134/task/detail/713492400","713492400")</f>
        <v>713492400</v>
      </c>
      <c r="B91" s="2" t="s">
        <v>372</v>
      </c>
      <c r="C91" s="2" t="s">
        <v>373</v>
      </c>
      <c r="D91" s="2" t="s">
        <v>98</v>
      </c>
      <c r="E91" s="2" t="s">
        <v>16</v>
      </c>
      <c r="F91" s="2" t="s">
        <v>331</v>
      </c>
      <c r="G91" s="2" t="s">
        <v>332</v>
      </c>
      <c r="H91" s="2" t="s">
        <v>36</v>
      </c>
      <c r="I91" s="2" t="s">
        <v>374</v>
      </c>
      <c r="J91" s="3" t="n">
        <v>10.0</v>
      </c>
      <c r="K91" s="7" t="n">
        <v>0.0</v>
      </c>
      <c r="L91" s="2" t="s">
        <v>21</v>
      </c>
      <c r="M91" s="2" t="s">
        <v>375</v>
      </c>
    </row>
    <row r="92" ht="12.75" customHeight="true">
      <c r="A92" s="5" t="str">
        <f>HYPERLINK("https://devcloud.cn-east-3.huaweicloud.com/projectman/scrum/78b2e310f37c4e28bfb3ef86179ac134/task/detail/713491687","713491687")</f>
        <v>713491687</v>
      </c>
      <c r="B92" s="2" t="s">
        <v>376</v>
      </c>
      <c r="C92" s="2" t="s">
        <v>377</v>
      </c>
      <c r="D92" s="2" t="s">
        <v>98</v>
      </c>
      <c r="E92" s="2" t="s">
        <v>16</v>
      </c>
      <c r="F92" s="2" t="s">
        <v>378</v>
      </c>
      <c r="G92" s="2" t="s">
        <v>379</v>
      </c>
      <c r="H92" s="2" t="s">
        <v>36</v>
      </c>
      <c r="I92" s="2" t="s">
        <v>380</v>
      </c>
      <c r="J92" s="3" t="n">
        <v>0.0</v>
      </c>
      <c r="K92" s="7" t="n">
        <v>0.0</v>
      </c>
      <c r="L92" s="2" t="s">
        <v>21</v>
      </c>
      <c r="M92" s="2" t="s">
        <v>381</v>
      </c>
    </row>
    <row r="93" ht="12.75" customHeight="true">
      <c r="A93" s="5" t="str">
        <f>HYPERLINK("https://devcloud.cn-east-3.huaweicloud.com/projectman/scrum/78b2e310f37c4e28bfb3ef86179ac134/task/detail/713491615","713491615")</f>
        <v>713491615</v>
      </c>
      <c r="B93" s="2" t="s">
        <v>382</v>
      </c>
      <c r="C93" s="2" t="s">
        <v>383</v>
      </c>
      <c r="D93" s="2" t="s">
        <v>98</v>
      </c>
      <c r="E93" s="2" t="s">
        <v>16</v>
      </c>
      <c r="F93" s="2" t="s">
        <v>331</v>
      </c>
      <c r="G93" s="2" t="s">
        <v>332</v>
      </c>
      <c r="H93" s="2" t="s">
        <v>36</v>
      </c>
      <c r="I93" s="2" t="s">
        <v>384</v>
      </c>
      <c r="J93" s="3" t="n">
        <v>16.0</v>
      </c>
      <c r="K93" s="7" t="n">
        <v>0.0</v>
      </c>
      <c r="L93" s="2" t="s">
        <v>21</v>
      </c>
      <c r="M93" s="2" t="s">
        <v>385</v>
      </c>
    </row>
    <row r="94" ht="12.75" customHeight="true">
      <c r="A94" s="5" t="str">
        <f>HYPERLINK("https://devcloud.cn-east-3.huaweicloud.com/projectman/scrum/78b2e310f37c4e28bfb3ef86179ac134/task/detail/713491610","713491610")</f>
        <v>713491610</v>
      </c>
      <c r="B94" s="2" t="s">
        <v>386</v>
      </c>
      <c r="C94" s="2" t="s">
        <v>387</v>
      </c>
      <c r="D94" s="2" t="s">
        <v>98</v>
      </c>
      <c r="E94" s="2" t="s">
        <v>16</v>
      </c>
      <c r="F94" s="2" t="s">
        <v>331</v>
      </c>
      <c r="G94" s="2" t="s">
        <v>332</v>
      </c>
      <c r="H94" s="2" t="s">
        <v>36</v>
      </c>
      <c r="I94" s="2" t="s">
        <v>388</v>
      </c>
      <c r="J94" s="3" t="n">
        <v>10.0</v>
      </c>
      <c r="K94" s="7" t="n">
        <v>0.0</v>
      </c>
      <c r="L94" s="2" t="s">
        <v>21</v>
      </c>
      <c r="M94" s="2" t="s">
        <v>389</v>
      </c>
    </row>
    <row r="95" ht="12.75" customHeight="true">
      <c r="A95" s="5" t="str">
        <f>HYPERLINK("https://devcloud.cn-east-3.huaweicloud.com/projectman/scrum/78b2e310f37c4e28bfb3ef86179ac134/task/detail/713491503","713491503")</f>
        <v>713491503</v>
      </c>
      <c r="B95" s="2" t="s">
        <v>390</v>
      </c>
      <c r="C95" s="2" t="s">
        <v>391</v>
      </c>
      <c r="D95" s="2" t="s">
        <v>98</v>
      </c>
      <c r="E95" s="2" t="s">
        <v>16</v>
      </c>
      <c r="F95" s="2" t="s">
        <v>331</v>
      </c>
      <c r="G95" s="2" t="s">
        <v>332</v>
      </c>
      <c r="H95" s="2" t="s">
        <v>36</v>
      </c>
      <c r="I95" s="2" t="s">
        <v>392</v>
      </c>
      <c r="J95" s="3" t="n">
        <v>24.0</v>
      </c>
      <c r="K95" s="7" t="n">
        <v>0.0</v>
      </c>
      <c r="L95" s="2" t="s">
        <v>21</v>
      </c>
      <c r="M95" s="2" t="s">
        <v>393</v>
      </c>
    </row>
    <row r="96" ht="12.75" customHeight="true">
      <c r="A96" s="5" t="str">
        <f>HYPERLINK("https://devcloud.cn-east-3.huaweicloud.com/projectman/scrum/78b2e310f37c4e28bfb3ef86179ac134/task/detail/713488251","713488251")</f>
        <v>713488251</v>
      </c>
      <c r="B96" s="2" t="s">
        <v>394</v>
      </c>
      <c r="C96" s="2"/>
      <c r="D96" s="2" t="s">
        <v>15</v>
      </c>
      <c r="E96" s="2" t="s">
        <v>16</v>
      </c>
      <c r="F96" s="2" t="s">
        <v>331</v>
      </c>
      <c r="G96" s="2" t="s">
        <v>332</v>
      </c>
      <c r="H96" s="2" t="s">
        <v>36</v>
      </c>
      <c r="I96" s="2" t="s">
        <v>395</v>
      </c>
      <c r="J96" s="3" t="n">
        <v>0.0</v>
      </c>
      <c r="K96" s="7" t="n">
        <v>0.0</v>
      </c>
      <c r="L96" s="2" t="s">
        <v>21</v>
      </c>
      <c r="M96" s="2" t="s">
        <v>396</v>
      </c>
    </row>
    <row r="97" ht="12.75" customHeight="true">
      <c r="A97" s="5" t="str">
        <f>HYPERLINK("https://devcloud.cn-east-3.huaweicloud.com/projectman/scrum/78b2e310f37c4e28bfb3ef86179ac134/task/detail/713485659","713485659")</f>
        <v>713485659</v>
      </c>
      <c r="B97" s="2" t="s">
        <v>397</v>
      </c>
      <c r="C97" s="2" t="s">
        <v>398</v>
      </c>
      <c r="D97" s="2" t="s">
        <v>98</v>
      </c>
      <c r="E97" s="2" t="s">
        <v>16</v>
      </c>
      <c r="F97" s="2" t="s">
        <v>331</v>
      </c>
      <c r="G97" s="2" t="s">
        <v>332</v>
      </c>
      <c r="H97" s="2" t="s">
        <v>36</v>
      </c>
      <c r="I97" s="2" t="s">
        <v>399</v>
      </c>
      <c r="J97" s="3" t="n">
        <v>12.0</v>
      </c>
      <c r="K97" s="7" t="n">
        <v>0.0</v>
      </c>
      <c r="L97" s="2" t="s">
        <v>21</v>
      </c>
      <c r="M97" s="2" t="s">
        <v>400</v>
      </c>
    </row>
    <row r="98" ht="12.75" customHeight="true">
      <c r="A98" s="5" t="str">
        <f>HYPERLINK("https://devcloud.cn-east-3.huaweicloud.com/projectman/scrum/78b2e310f37c4e28bfb3ef86179ac134/task/detail/713485657","713485657")</f>
        <v>713485657</v>
      </c>
      <c r="B98" s="2" t="s">
        <v>401</v>
      </c>
      <c r="C98" s="2" t="s">
        <v>402</v>
      </c>
      <c r="D98" s="2" t="s">
        <v>98</v>
      </c>
      <c r="E98" s="2" t="s">
        <v>16</v>
      </c>
      <c r="F98" s="2" t="s">
        <v>331</v>
      </c>
      <c r="G98" s="2" t="s">
        <v>332</v>
      </c>
      <c r="H98" s="2" t="s">
        <v>36</v>
      </c>
      <c r="I98" s="2" t="s">
        <v>403</v>
      </c>
      <c r="J98" s="3" t="n">
        <v>14.0</v>
      </c>
      <c r="K98" s="7" t="n">
        <v>0.0</v>
      </c>
      <c r="L98" s="2" t="s">
        <v>21</v>
      </c>
      <c r="M98" s="2" t="s">
        <v>404</v>
      </c>
    </row>
    <row r="99" ht="12.75" customHeight="true">
      <c r="A99" s="5" t="str">
        <f>HYPERLINK("https://devcloud.cn-east-3.huaweicloud.com/projectman/scrum/78b2e310f37c4e28bfb3ef86179ac134/task/detail/713481096","713481096")</f>
        <v>713481096</v>
      </c>
      <c r="B99" s="2" t="s">
        <v>405</v>
      </c>
      <c r="C99" s="2" t="s">
        <v>406</v>
      </c>
      <c r="D99" s="2" t="s">
        <v>98</v>
      </c>
      <c r="E99" s="2" t="s">
        <v>16</v>
      </c>
      <c r="F99" s="2" t="s">
        <v>331</v>
      </c>
      <c r="G99" s="2" t="s">
        <v>332</v>
      </c>
      <c r="H99" s="2" t="s">
        <v>36</v>
      </c>
      <c r="I99" s="2" t="s">
        <v>407</v>
      </c>
      <c r="J99" s="3" t="n">
        <v>24.0</v>
      </c>
      <c r="K99" s="7" t="n">
        <v>0.0</v>
      </c>
      <c r="L99" s="2" t="s">
        <v>21</v>
      </c>
      <c r="M99" s="2" t="s">
        <v>408</v>
      </c>
    </row>
    <row r="100" ht="12.75" customHeight="true">
      <c r="A100" s="5" t="str">
        <f>HYPERLINK("https://devcloud.cn-east-3.huaweicloud.com/projectman/scrum/78b2e310f37c4e28bfb3ef86179ac134/task/detail/713479719","713479719")</f>
        <v>713479719</v>
      </c>
      <c r="B100" s="2" t="s">
        <v>409</v>
      </c>
      <c r="C100" s="2"/>
      <c r="D100" s="2" t="s">
        <v>15</v>
      </c>
      <c r="E100" s="2" t="s">
        <v>16</v>
      </c>
      <c r="F100" s="2" t="s">
        <v>331</v>
      </c>
      <c r="G100" s="2" t="s">
        <v>332</v>
      </c>
      <c r="H100" s="2" t="s">
        <v>36</v>
      </c>
      <c r="I100" s="2" t="s">
        <v>410</v>
      </c>
      <c r="J100" s="3" t="n">
        <v>0.0</v>
      </c>
      <c r="K100" s="7" t="n">
        <v>0.0</v>
      </c>
      <c r="L100" s="2" t="s">
        <v>21</v>
      </c>
      <c r="M100" s="2" t="s">
        <v>411</v>
      </c>
    </row>
    <row r="101" ht="12.75" customHeight="true">
      <c r="A101" s="5" t="str">
        <f>HYPERLINK("https://devcloud.cn-east-3.huaweicloud.com/projectman/scrum/78b2e310f37c4e28bfb3ef86179ac134/task/detail/713479690","713479690")</f>
        <v>713479690</v>
      </c>
      <c r="B101" s="2" t="s">
        <v>412</v>
      </c>
      <c r="C101" s="2"/>
      <c r="D101" s="2" t="s">
        <v>15</v>
      </c>
      <c r="E101" s="2" t="s">
        <v>16</v>
      </c>
      <c r="F101" s="2" t="s">
        <v>331</v>
      </c>
      <c r="G101" s="2" t="s">
        <v>332</v>
      </c>
      <c r="H101" s="2" t="s">
        <v>36</v>
      </c>
      <c r="I101" s="2" t="s">
        <v>413</v>
      </c>
      <c r="J101" s="3" t="n">
        <v>0.0</v>
      </c>
      <c r="K101" s="7" t="n">
        <v>0.0</v>
      </c>
      <c r="L101" s="2" t="s">
        <v>21</v>
      </c>
      <c r="M101" s="2" t="s">
        <v>414</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2026-10-10T06:33:48Z</dcterms:created>
  <dc:creator>Apache POI</dc:creator>
</cp:coreProperties>
</file>