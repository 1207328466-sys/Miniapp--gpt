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作项列表" r:id="rId3" sheetId="1"/>
  </sheets>
</workbook>
</file>

<file path=xl/sharedStrings.xml><?xml version="1.0" encoding="utf-8"?>
<sst xmlns="http://schemas.openxmlformats.org/spreadsheetml/2006/main" count="294" uniqueCount="66">
  <si>
    <t/>
  </si>
  <si>
    <t>编号</t>
  </si>
  <si>
    <t>标题</t>
  </si>
  <si>
    <t>结束时间</t>
  </si>
  <si>
    <t>状态</t>
  </si>
  <si>
    <t>处理人</t>
  </si>
  <si>
    <t>预计开始日期</t>
  </si>
  <si>
    <t>预计结束日期</t>
  </si>
  <si>
    <t>优先级</t>
  </si>
  <si>
    <t>创建时间</t>
  </si>
  <si>
    <t>实际工时</t>
  </si>
  <si>
    <t>完成度</t>
  </si>
  <si>
    <t>类型</t>
  </si>
  <si>
    <r>
      <rPr>
        <color indexed="12"/>
        <sz val="11.0"/>
        <rFont val="Calibri"/>
      </rPr>
      <t>【bug】首页活动点击跳转压铸百科，底部导航栏消失</t>
    </r>
  </si>
  <si>
    <r>
      <rPr>
        <color indexed="12"/>
        <sz val="11.0"/>
        <rFont val="Calibri"/>
      </rPr>
      <t>2026/10/08 16:13:03 GMT+08:00</t>
    </r>
  </si>
  <si>
    <r>
      <rPr>
        <color indexed="12"/>
        <sz val="11.0"/>
        <rFont val="Calibri"/>
      </rPr>
      <t>已关闭</t>
    </r>
  </si>
  <si>
    <r>
      <rPr>
        <color indexed="12"/>
        <sz val="11.0"/>
        <rFont val="Calibri"/>
      </rPr>
      <t>詹鑫泽</t>
    </r>
  </si>
  <si>
    <r>
      <rPr>
        <color indexed="12"/>
        <sz val="11.0"/>
        <rFont val="Calibri"/>
      </rPr>
      <t>2026/09/20</t>
    </r>
  </si>
  <si>
    <r>
      <rPr>
        <color indexed="12"/>
        <sz val="11.0"/>
        <rFont val="Calibri"/>
      </rPr>
      <t>2026/10/13</t>
    </r>
  </si>
  <si>
    <r>
      <rPr>
        <color indexed="12"/>
        <sz val="11.0"/>
        <rFont val="Calibri"/>
      </rPr>
      <t>中</t>
    </r>
  </si>
  <si>
    <r>
      <rPr>
        <color indexed="12"/>
        <sz val="11.0"/>
        <rFont val="Calibri"/>
      </rPr>
      <t>2026/10/08 16:12:43 GMT+08:00</t>
    </r>
  </si>
  <si>
    <r>
      <rPr>
        <color indexed="12"/>
        <sz val="11.0"/>
        <rFont val="Calibri"/>
      </rPr>
      <t>Bug</t>
    </r>
  </si>
  <si>
    <r>
      <rPr>
        <color indexed="12"/>
        <sz val="11.0"/>
        <rFont val="Calibri"/>
      </rPr>
      <t>【bug】分享商城页面点击登录后未显示礼品</t>
    </r>
  </si>
  <si>
    <r>
      <rPr>
        <color indexed="12"/>
        <sz val="11.0"/>
        <rFont val="Calibri"/>
      </rPr>
      <t>2026/10/08 15:47:22 GMT+08:00</t>
    </r>
  </si>
  <si>
    <r>
      <rPr>
        <color indexed="12"/>
        <sz val="11.0"/>
        <rFont val="Calibri"/>
      </rPr>
      <t>2026/10/08 15:46:51 GMT+08:00</t>
    </r>
  </si>
  <si>
    <r>
      <rPr>
        <color indexed="12"/>
        <sz val="11.0"/>
        <rFont val="Calibri"/>
      </rPr>
      <t>【bug】提交答题埋点功能活动名称错误，没有传正确的活动名称</t>
    </r>
  </si>
  <si>
    <r>
      <rPr>
        <color indexed="12"/>
        <sz val="11.0"/>
        <rFont val="Calibri"/>
      </rPr>
      <t>2026/10/08 15:26:19 GMT+08:00</t>
    </r>
  </si>
  <si>
    <r>
      <rPr>
        <color indexed="12"/>
        <sz val="11.0"/>
        <rFont val="Calibri"/>
      </rPr>
      <t>2026/10/08 15:13:53 GMT+08:00</t>
    </r>
  </si>
  <si>
    <r>
      <rPr>
        <color indexed="12"/>
        <sz val="11.0"/>
        <rFont val="Calibri"/>
      </rPr>
      <t>【bug】首页活动跳转话题详情显示参数校验失败</t>
    </r>
  </si>
  <si>
    <r>
      <rPr>
        <color indexed="12"/>
        <sz val="11.0"/>
        <rFont val="Calibri"/>
      </rPr>
      <t>2026/10/08 16:26:39 GMT+08:00</t>
    </r>
  </si>
  <si>
    <r>
      <rPr>
        <color indexed="12"/>
        <sz val="11.0"/>
        <rFont val="Calibri"/>
      </rPr>
      <t>2026/10/08 14:15:41 GMT+08:00</t>
    </r>
  </si>
  <si>
    <r>
      <rPr>
        <color indexed="12"/>
        <sz val="11.0"/>
        <rFont val="Calibri"/>
      </rPr>
      <t>【线上bug】管理后台的悬浮按钮动画点击人数弹窗没有分页</t>
    </r>
  </si>
  <si>
    <r>
      <rPr>
        <color indexed="12"/>
        <sz val="11.0"/>
        <rFont val="Calibri"/>
      </rPr>
      <t>2026/10/08 12:00:01 GMT+08:00</t>
    </r>
  </si>
  <si>
    <r>
      <rPr>
        <color indexed="12"/>
        <sz val="11.0"/>
        <rFont val="Calibri"/>
      </rPr>
      <t>2026/10/08 11:59:52 GMT+08:00</t>
    </r>
  </si>
  <si>
    <r>
      <rPr>
        <color indexed="12"/>
        <sz val="11.0"/>
        <rFont val="Calibri"/>
      </rPr>
      <t>【bug】批量导入校验错误，判断题没有填选项</t>
    </r>
  </si>
  <si>
    <r>
      <rPr>
        <color indexed="12"/>
        <sz val="11.0"/>
        <rFont val="Calibri"/>
      </rPr>
      <t>2026/10/08 13:55:54 GMT+08:00</t>
    </r>
  </si>
  <si>
    <r>
      <rPr>
        <color indexed="12"/>
        <sz val="11.0"/>
        <rFont val="Calibri"/>
      </rPr>
      <t>2026/10/08 10:02:39 GMT+08:00</t>
    </r>
  </si>
  <si>
    <r>
      <rPr>
        <color indexed="12"/>
        <sz val="11.0"/>
        <rFont val="Calibri"/>
      </rPr>
      <t>【bug】跳过的题目占用了导入名额，后面正常的题目无法导入</t>
    </r>
  </si>
  <si>
    <r>
      <rPr>
        <color indexed="12"/>
        <sz val="11.0"/>
        <rFont val="Calibri"/>
      </rPr>
      <t>2026/10/08 11:51:15 GMT+08:00</t>
    </r>
  </si>
  <si>
    <r>
      <rPr>
        <color indexed="12"/>
        <sz val="11.0"/>
        <rFont val="Calibri"/>
      </rPr>
      <t>高</t>
    </r>
  </si>
  <si>
    <r>
      <rPr>
        <color indexed="12"/>
        <sz val="11.0"/>
        <rFont val="Calibri"/>
      </rPr>
      <t>2026/10/08 10:01:55 GMT+08:00</t>
    </r>
  </si>
  <si>
    <r>
      <rPr>
        <color indexed="12"/>
        <sz val="11.0"/>
        <rFont val="Calibri"/>
      </rPr>
      <t>【bug】在用户的积分获取详情页可以修改已结束的活动的开始时间</t>
    </r>
  </si>
  <si>
    <r>
      <rPr>
        <color indexed="12"/>
        <sz val="11.0"/>
        <rFont val="Calibri"/>
      </rPr>
      <t>2026/09/30 16:36:28 GMT+08:00</t>
    </r>
  </si>
  <si>
    <r>
      <rPr>
        <color indexed="12"/>
        <sz val="11.0"/>
        <rFont val="Calibri"/>
      </rPr>
      <t>2026/09/30 15:27:48 GMT+08:00</t>
    </r>
  </si>
  <si>
    <r>
      <rPr>
        <color indexed="12"/>
        <sz val="11.0"/>
        <rFont val="Calibri"/>
      </rPr>
      <t>【bug】首页活动管理无法正常翻页，只显示前十条</t>
    </r>
  </si>
  <si>
    <r>
      <rPr>
        <color indexed="12"/>
        <sz val="11.0"/>
        <rFont val="Calibri"/>
      </rPr>
      <t>2026/09/30 16:24:28 GMT+08:00</t>
    </r>
  </si>
  <si>
    <r>
      <rPr>
        <color indexed="12"/>
        <sz val="11.0"/>
        <rFont val="Calibri"/>
      </rPr>
      <t>2026/09/30 14:13:26 GMT+08:00</t>
    </r>
  </si>
  <si>
    <r>
      <rPr>
        <color indexed="12"/>
        <sz val="11.0"/>
        <rFont val="Calibri"/>
      </rPr>
      <t>【bug】答题活动中题干四张图的展示形式错误</t>
    </r>
  </si>
  <si>
    <r>
      <rPr>
        <color indexed="12"/>
        <sz val="11.0"/>
        <rFont val="Calibri"/>
      </rPr>
      <t>2026/09/30 14:20:50 GMT+08:00</t>
    </r>
  </si>
  <si>
    <r>
      <rPr>
        <color indexed="12"/>
        <sz val="11.0"/>
        <rFont val="Calibri"/>
      </rPr>
      <t>2026/09/30 10:12:27 GMT+08:00</t>
    </r>
  </si>
  <si>
    <r>
      <rPr>
        <color indexed="12"/>
        <sz val="11.0"/>
        <rFont val="Calibri"/>
      </rPr>
      <t>【bug】答题活动待开始状态编辑题目会导致题干图片丢失</t>
    </r>
  </si>
  <si>
    <r>
      <rPr>
        <color indexed="12"/>
        <sz val="11.0"/>
        <rFont val="Calibri"/>
      </rPr>
      <t>2026/09/30 14:21:04 GMT+08:00</t>
    </r>
  </si>
  <si>
    <r>
      <rPr>
        <color indexed="12"/>
        <sz val="11.0"/>
        <rFont val="Calibri"/>
      </rPr>
      <t>2026/09/30 10:07:27 GMT+08:00</t>
    </r>
  </si>
  <si>
    <r>
      <rPr>
        <color indexed="12"/>
        <sz val="11.0"/>
        <rFont val="Calibri"/>
      </rPr>
      <t>【bug】切换首页列表显示时首页活动轮播的类型角标会错乱</t>
    </r>
  </si>
  <si>
    <r>
      <rPr>
        <color indexed="12"/>
        <sz val="11.0"/>
        <rFont val="Calibri"/>
      </rPr>
      <t>2026/09/29 17:27:50 GMT+08:00</t>
    </r>
  </si>
  <si>
    <r>
      <rPr>
        <color indexed="12"/>
        <sz val="11.0"/>
        <rFont val="Calibri"/>
      </rPr>
      <t>徐莹</t>
    </r>
  </si>
  <si>
    <r>
      <rPr>
        <color indexed="12"/>
        <sz val="11.0"/>
        <rFont val="Calibri"/>
      </rPr>
      <t>2026/09/29 17:27:38 GMT+08:00</t>
    </r>
  </si>
  <si>
    <r>
      <rPr>
        <color indexed="12"/>
        <sz val="11.0"/>
        <rFont val="Calibri"/>
      </rPr>
      <t>【bug】新建跳转链接活动中，话题/礼品/课程详情未传首图，内容展示不全</t>
    </r>
  </si>
  <si>
    <r>
      <rPr>
        <color indexed="12"/>
        <sz val="11.0"/>
        <rFont val="Calibri"/>
      </rPr>
      <t>2026/09/30 14:20:30 GMT+08:00</t>
    </r>
  </si>
  <si>
    <r>
      <rPr>
        <color indexed="12"/>
        <sz val="11.0"/>
        <rFont val="Calibri"/>
      </rPr>
      <t>2026/09/29 15:26:29 GMT+08:00</t>
    </r>
  </si>
  <si>
    <r>
      <rPr>
        <color indexed="12"/>
        <sz val="11.0"/>
        <rFont val="Calibri"/>
      </rPr>
      <t>【bug】图文活动详情页--小标题与正文显示错乱字体重叠</t>
    </r>
  </si>
  <si>
    <r>
      <rPr>
        <color indexed="12"/>
        <sz val="11.0"/>
        <rFont val="Calibri"/>
      </rPr>
      <t>2026/09/29 16:11:55 GMT+08:00</t>
    </r>
  </si>
  <si>
    <r>
      <rPr>
        <color indexed="12"/>
        <sz val="11.0"/>
        <rFont val="Calibri"/>
      </rPr>
      <t>2026/09/29 14:32:31 GMT+08:00</t>
    </r>
  </si>
  <si>
    <r>
      <rPr>
        <color indexed="12"/>
        <sz val="11.0"/>
        <rFont val="Calibri"/>
      </rPr>
      <t>【bug】互动专栏页面--点击嘉宾头像关注后返回页面显示未关注也无法下载文件</t>
    </r>
  </si>
  <si>
    <r>
      <rPr>
        <color indexed="12"/>
        <sz val="11.0"/>
        <rFont val="Calibri"/>
      </rPr>
      <t>2026/09/29 16:56:42 GMT+08:00</t>
    </r>
  </si>
  <si>
    <r>
      <rPr>
        <color indexed="12"/>
        <sz val="11.0"/>
        <rFont val="Calibri"/>
      </rPr>
      <t>2026/09/28 16:08:45 GMT+08:00</t>
    </r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</si>
</sst>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color indexed="20"/>
      <b val="true"/>
    </font>
    <font>
      <name val="Calibri"/>
      <sz val="11.0"/>
    </font>
    <font>
      <name val="Calibri"/>
      <sz val="11.0"/>
      <u val="single"/>
      <color indexed="12"/>
    </font>
    <font>
      <name val="Calibri"/>
      <sz val="11.0"/>
      <color indexed="12"/>
    </font>
    <font>
      <name val="Calibri"/>
      <sz val="11.0"/>
      <color indexed="12"/>
      <u val="single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49" fontId="1" fillId="3" borderId="4" xfId="0" applyNumberFormat="true" applyFill="true" applyBorder="true" applyAlignment="true" applyFont="true">
      <alignment horizontal="center" wrapText="true"/>
    </xf>
    <xf numFmtId="49" fontId="2" fillId="5" borderId="4" xfId="0" applyNumberFormat="true" applyFill="true" applyBorder="true" applyAlignment="true" applyFont="true">
      <alignment horizontal="left" vertical="center" wrapText="true"/>
    </xf>
    <xf numFmtId="2" fontId="2" fillId="5" borderId="4" xfId="0" applyNumberFormat="true" applyFill="true" applyBorder="true" applyAlignment="true" applyFont="true">
      <alignment horizontal="left" vertical="center" wrapText="true"/>
    </xf>
    <xf numFmtId="1" fontId="2" fillId="5" borderId="4" xfId="0" applyNumberFormat="true" applyFill="true" applyBorder="true" applyAlignment="true" applyFont="true">
      <alignment horizontal="left" vertical="center" wrapText="true"/>
    </xf>
    <xf numFmtId="0" fontId="6" fillId="5" borderId="4" xfId="0" applyFill="true" applyBorder="true" applyAlignment="true" applyFont="true">
      <alignment horizontal="left" vertical="center"/>
    </xf>
    <xf numFmtId="0" fontId="3" fillId="5" borderId="4" xfId="0" applyFont="true" applyFill="true" applyBorder="true" applyAlignment="true">
      <alignment horizontal="left" vertical="center"/>
    </xf>
    <xf numFmtId="9" fontId="2" fillId="5" borderId="4" xfId="0" applyNumberFormat="true" applyFill="true" applyBorder="true" applyAlignment="true" applyFo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 tabSelected="true"/>
  </sheetViews>
  <sheetFormatPr defaultRowHeight="15.0" baseColWidth="16"/>
  <sheetData>
    <row r="1" ht="30.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12.75" customHeight="true">
      <c r="A2" s="5" t="str">
        <f>HYPERLINK("https://devcloud.cn-east-3.huaweicloud.com/projectman/scrum/78b2e310f37c4e28bfb3ef86179ac134/task/detail/713628705","713628705")</f>
        <v>713628705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n">
        <v>0.0</v>
      </c>
      <c r="K2" s="7" t="n">
        <v>0.0</v>
      </c>
      <c r="L2" s="2" t="s">
        <v>21</v>
      </c>
    </row>
    <row r="3" ht="12.75" customHeight="true">
      <c r="A3" s="5" t="str">
        <f>HYPERLINK("https://devcloud.cn-east-3.huaweicloud.com/projectman/scrum/78b2e310f37c4e28bfb3ef86179ac134/task/detail/713628660","713628660")</f>
        <v>713628660</v>
      </c>
      <c r="B3" s="2" t="s">
        <v>22</v>
      </c>
      <c r="C3" s="2" t="s">
        <v>23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24</v>
      </c>
      <c r="J3" s="3" t="n">
        <v>0.0</v>
      </c>
      <c r="K3" s="7" t="n">
        <v>0.0</v>
      </c>
      <c r="L3" s="2" t="s">
        <v>21</v>
      </c>
    </row>
    <row r="4" ht="12.75" customHeight="true">
      <c r="A4" s="5" t="str">
        <f>HYPERLINK("https://devcloud.cn-east-3.huaweicloud.com/projectman/scrum/78b2e310f37c4e28bfb3ef86179ac134/task/detail/713628606","713628606")</f>
        <v>713628606</v>
      </c>
      <c r="B4" s="2" t="s">
        <v>25</v>
      </c>
      <c r="C4" s="2" t="s">
        <v>26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27</v>
      </c>
      <c r="J4" s="3" t="n">
        <v>0.0</v>
      </c>
      <c r="K4" s="7" t="n">
        <v>0.0</v>
      </c>
      <c r="L4" s="2" t="s">
        <v>21</v>
      </c>
    </row>
    <row r="5" ht="12.75" customHeight="true">
      <c r="A5" s="5" t="str">
        <f>HYPERLINK("https://devcloud.cn-east-3.huaweicloud.com/projectman/scrum/78b2e310f37c4e28bfb3ef86179ac134/task/detail/713628477","713628477")</f>
        <v>713628477</v>
      </c>
      <c r="B5" s="2" t="s">
        <v>28</v>
      </c>
      <c r="C5" s="2" t="s">
        <v>29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30</v>
      </c>
      <c r="J5" s="3" t="n">
        <v>0.0</v>
      </c>
      <c r="K5" s="7" t="n">
        <v>0.0</v>
      </c>
      <c r="L5" s="2" t="s">
        <v>21</v>
      </c>
    </row>
    <row r="6" ht="12.75" customHeight="true">
      <c r="A6" s="5" t="str">
        <f>HYPERLINK("https://devcloud.cn-east-3.huaweicloud.com/projectman/scrum/78b2e310f37c4e28bfb3ef86179ac134/task/detail/713628399","713628399")</f>
        <v>713628399</v>
      </c>
      <c r="B6" s="2" t="s">
        <v>31</v>
      </c>
      <c r="C6" s="2" t="s">
        <v>32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33</v>
      </c>
      <c r="J6" s="3" t="n">
        <v>0.0</v>
      </c>
      <c r="K6" s="7" t="n">
        <v>0.0</v>
      </c>
      <c r="L6" s="2" t="s">
        <v>21</v>
      </c>
    </row>
    <row r="7" ht="12.75" customHeight="true">
      <c r="A7" s="5" t="str">
        <f>HYPERLINK("https://devcloud.cn-east-3.huaweicloud.com/projectman/scrum/78b2e310f37c4e28bfb3ef86179ac134/task/detail/713628229","713628229")</f>
        <v>713628229</v>
      </c>
      <c r="B7" s="2" t="s">
        <v>34</v>
      </c>
      <c r="C7" s="2" t="s">
        <v>35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36</v>
      </c>
      <c r="J7" s="3" t="n">
        <v>0.0</v>
      </c>
      <c r="K7" s="7" t="n">
        <v>0.0</v>
      </c>
      <c r="L7" s="2" t="s">
        <v>21</v>
      </c>
    </row>
    <row r="8" ht="12.75" customHeight="true">
      <c r="A8" s="5" t="str">
        <f>HYPERLINK("https://devcloud.cn-east-3.huaweicloud.com/projectman/scrum/78b2e310f37c4e28bfb3ef86179ac134/task/detail/713628225","713628225")</f>
        <v>713628225</v>
      </c>
      <c r="B8" s="2" t="s">
        <v>37</v>
      </c>
      <c r="C8" s="2" t="s">
        <v>38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39</v>
      </c>
      <c r="I8" s="2" t="s">
        <v>40</v>
      </c>
      <c r="J8" s="3" t="n">
        <v>0.0</v>
      </c>
      <c r="K8" s="7" t="n">
        <v>0.0</v>
      </c>
      <c r="L8" s="2" t="s">
        <v>21</v>
      </c>
    </row>
    <row r="9" ht="12.75" customHeight="true">
      <c r="A9" s="5" t="str">
        <f>HYPERLINK("https://devcloud.cn-east-3.huaweicloud.com/projectman/scrum/78b2e310f37c4e28bfb3ef86179ac134/task/detail/713624088","713624088")</f>
        <v>713624088</v>
      </c>
      <c r="B9" s="2" t="s">
        <v>41</v>
      </c>
      <c r="C9" s="2" t="s">
        <v>42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43</v>
      </c>
      <c r="J9" s="3" t="n">
        <v>0.0</v>
      </c>
      <c r="K9" s="7" t="n">
        <v>0.0</v>
      </c>
      <c r="L9" s="2" t="s">
        <v>21</v>
      </c>
    </row>
    <row r="10" ht="12.75" customHeight="true">
      <c r="A10" s="5" t="str">
        <f>HYPERLINK("https://devcloud.cn-east-3.huaweicloud.com/projectman/scrum/78b2e310f37c4e28bfb3ef86179ac134/task/detail/713624011","713624011")</f>
        <v>713624011</v>
      </c>
      <c r="B10" s="2" t="s">
        <v>44</v>
      </c>
      <c r="C10" s="2" t="s">
        <v>45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46</v>
      </c>
      <c r="J10" s="3" t="n">
        <v>0.0</v>
      </c>
      <c r="K10" s="7" t="n">
        <v>0.0</v>
      </c>
      <c r="L10" s="2" t="s">
        <v>21</v>
      </c>
    </row>
    <row r="11" ht="12.75" customHeight="true">
      <c r="A11" s="5" t="str">
        <f>HYPERLINK("https://devcloud.cn-east-3.huaweicloud.com/projectman/scrum/78b2e310f37c4e28bfb3ef86179ac134/task/detail/713623890","713623890")</f>
        <v>713623890</v>
      </c>
      <c r="B11" s="2" t="s">
        <v>47</v>
      </c>
      <c r="C11" s="2" t="s">
        <v>48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49</v>
      </c>
      <c r="J11" s="3" t="n">
        <v>0.0</v>
      </c>
      <c r="K11" s="7" t="n">
        <v>0.0</v>
      </c>
      <c r="L11" s="2" t="s">
        <v>21</v>
      </c>
    </row>
    <row r="12" ht="12.75" customHeight="true">
      <c r="A12" s="5" t="str">
        <f>HYPERLINK("https://devcloud.cn-east-3.huaweicloud.com/projectman/scrum/78b2e310f37c4e28bfb3ef86179ac134/task/detail/713623887","713623887")</f>
        <v>713623887</v>
      </c>
      <c r="B12" s="2" t="s">
        <v>50</v>
      </c>
      <c r="C12" s="2" t="s">
        <v>51</v>
      </c>
      <c r="D12" s="2" t="s">
        <v>15</v>
      </c>
      <c r="E12" s="2" t="s">
        <v>16</v>
      </c>
      <c r="F12" s="2" t="s">
        <v>17</v>
      </c>
      <c r="G12" s="2" t="s">
        <v>18</v>
      </c>
      <c r="H12" s="2" t="s">
        <v>19</v>
      </c>
      <c r="I12" s="2" t="s">
        <v>52</v>
      </c>
      <c r="J12" s="3" t="n">
        <v>0.0</v>
      </c>
      <c r="K12" s="7" t="n">
        <v>0.0</v>
      </c>
      <c r="L12" s="2" t="s">
        <v>21</v>
      </c>
    </row>
    <row r="13" ht="12.75" customHeight="true">
      <c r="A13" s="5" t="str">
        <f>HYPERLINK("https://devcloud.cn-east-3.huaweicloud.com/projectman/scrum/78b2e310f37c4e28bfb3ef86179ac134/task/detail/713623362","713623362")</f>
        <v>713623362</v>
      </c>
      <c r="B13" s="2" t="s">
        <v>53</v>
      </c>
      <c r="C13" s="2" t="s">
        <v>54</v>
      </c>
      <c r="D13" s="2" t="s">
        <v>15</v>
      </c>
      <c r="E13" s="2" t="s">
        <v>55</v>
      </c>
      <c r="F13" s="2" t="s">
        <v>17</v>
      </c>
      <c r="G13" s="2" t="s">
        <v>18</v>
      </c>
      <c r="H13" s="2" t="s">
        <v>19</v>
      </c>
      <c r="I13" s="2" t="s">
        <v>56</v>
      </c>
      <c r="J13" s="3" t="n">
        <v>0.0</v>
      </c>
      <c r="K13" s="7" t="n">
        <v>0.0</v>
      </c>
      <c r="L13" s="2" t="s">
        <v>21</v>
      </c>
    </row>
    <row r="14" ht="12.75" customHeight="true">
      <c r="A14" s="5" t="str">
        <f>HYPERLINK("https://devcloud.cn-east-3.huaweicloud.com/projectman/scrum/78b2e310f37c4e28bfb3ef86179ac134/task/detail/713623150","713623150")</f>
        <v>713623150</v>
      </c>
      <c r="B14" s="2" t="s">
        <v>57</v>
      </c>
      <c r="C14" s="2" t="s">
        <v>58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  <c r="I14" s="2" t="s">
        <v>59</v>
      </c>
      <c r="J14" s="3" t="n">
        <v>0.0</v>
      </c>
      <c r="K14" s="7" t="n">
        <v>0.0</v>
      </c>
      <c r="L14" s="2" t="s">
        <v>21</v>
      </c>
    </row>
    <row r="15" ht="12.75" customHeight="true">
      <c r="A15" s="5" t="str">
        <f>HYPERLINK("https://devcloud.cn-east-3.huaweicloud.com/projectman/scrum/78b2e310f37c4e28bfb3ef86179ac134/task/detail/713623075","713623075")</f>
        <v>713623075</v>
      </c>
      <c r="B15" s="2" t="s">
        <v>60</v>
      </c>
      <c r="C15" s="2" t="s">
        <v>61</v>
      </c>
      <c r="D15" s="2" t="s">
        <v>15</v>
      </c>
      <c r="E15" s="2" t="s">
        <v>16</v>
      </c>
      <c r="F15" s="2" t="s">
        <v>17</v>
      </c>
      <c r="G15" s="2" t="s">
        <v>18</v>
      </c>
      <c r="H15" s="2" t="s">
        <v>19</v>
      </c>
      <c r="I15" s="2" t="s">
        <v>62</v>
      </c>
      <c r="J15" s="3" t="n">
        <v>0.0</v>
      </c>
      <c r="K15" s="7" t="n">
        <v>0.0</v>
      </c>
      <c r="L15" s="2" t="s">
        <v>21</v>
      </c>
    </row>
    <row r="16" ht="12.75" customHeight="true">
      <c r="A16" s="5" t="str">
        <f>HYPERLINK("https://devcloud.cn-east-3.huaweicloud.com/projectman/scrum/78b2e310f37c4e28bfb3ef86179ac134/task/detail/713621906","713621906")</f>
        <v>713621906</v>
      </c>
      <c r="B16" s="2" t="s">
        <v>63</v>
      </c>
      <c r="C16" s="2" t="s">
        <v>64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19</v>
      </c>
      <c r="I16" s="2" t="s">
        <v>65</v>
      </c>
      <c r="J16" s="3" t="n">
        <v>0.0</v>
      </c>
      <c r="K16" s="7" t="n">
        <v>0.0</v>
      </c>
      <c r="L16" s="2" t="s">
        <v>21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2026-10-09T08:25:34Z</dcterms:created>
  <dc:creator>Apache POI</dc:creator>
</cp:coreProperties>
</file>