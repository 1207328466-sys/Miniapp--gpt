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作项列表" r:id="rId3" sheetId="1"/>
  </sheets>
</workbook>
</file>

<file path=xl/sharedStrings.xml><?xml version="1.0" encoding="utf-8"?>
<sst xmlns="http://schemas.openxmlformats.org/spreadsheetml/2006/main" count="1911" uniqueCount="413">
  <si>
    <t/>
  </si>
  <si>
    <t>编号</t>
  </si>
  <si>
    <t>标题</t>
  </si>
  <si>
    <t>结束时间</t>
  </si>
  <si>
    <t>状态</t>
  </si>
  <si>
    <t>处理人</t>
  </si>
  <si>
    <t>预计开始日期</t>
  </si>
  <si>
    <t>预计结束日期</t>
  </si>
  <si>
    <t>优先级</t>
  </si>
  <si>
    <t>创建时间</t>
  </si>
  <si>
    <t>实际工时</t>
  </si>
  <si>
    <t>完成度</t>
  </si>
  <si>
    <t>类型</t>
  </si>
  <si>
    <t>描述</t>
  </si>
  <si>
    <r>
      <rPr>
        <color indexed="12"/>
        <sz val="11.0"/>
        <rFont val="Calibri"/>
      </rPr>
      <t>小程序-训练营和普通课程页面区分</t>
    </r>
  </si>
  <si>
    <r>
      <rPr>
        <color indexed="12"/>
        <sz val="11.0"/>
        <rFont val="Calibri"/>
      </rPr>
      <t>新建</t>
    </r>
  </si>
  <si>
    <r>
      <rPr>
        <color indexed="12"/>
        <sz val="11.0"/>
        <rFont val="Calibri"/>
      </rPr>
      <t>chp.liu</t>
    </r>
  </si>
  <si>
    <r>
      <rPr>
        <color indexed="12"/>
        <sz val="11.0"/>
        <rFont val="Calibri"/>
      </rPr>
      <t>2026/06/22</t>
    </r>
  </si>
  <si>
    <r>
      <rPr>
        <color indexed="12"/>
        <sz val="11.0"/>
        <rFont val="Calibri"/>
      </rPr>
      <t>2026/07/15</t>
    </r>
  </si>
  <si>
    <r>
      <rPr>
        <color indexed="12"/>
        <sz val="11.0"/>
        <rFont val="Calibri"/>
      </rPr>
      <t>中</t>
    </r>
  </si>
  <si>
    <r>
      <rPr>
        <color indexed="12"/>
        <sz val="11.0"/>
        <rFont val="Calibri"/>
      </rPr>
      <t>2026/06/11 14:04:55 GMT+08:00</t>
    </r>
  </si>
  <si>
    <r>
      <rPr>
        <color indexed="12"/>
        <sz val="11.0"/>
        <rFont val="Calibri"/>
      </rPr>
      <t>Story</t>
    </r>
  </si>
  <si>
    <t xml:space="preserve">1、在购买了训练营课程后，查看课程时，课程标签后增加显示“训练营”文案，普通课程不变
2、分享功能：分享图片由截图形式改为采用课程封面图，分享标题为课程标题分享（同步更改页面内分享、官方右上角分享）
</t>
  </si>
  <si>
    <r>
      <rPr>
        <color indexed="12"/>
        <sz val="11.0"/>
        <rFont val="Calibri"/>
      </rPr>
      <t>管理后台-课前自测和课后练习</t>
    </r>
  </si>
  <si>
    <r>
      <rPr>
        <color indexed="12"/>
        <sz val="11.0"/>
        <rFont val="Calibri"/>
      </rPr>
      <t>2026/06/10 15:33:48 GMT+08:00</t>
    </r>
  </si>
  <si>
    <r>
      <rPr>
        <color indexed="12"/>
        <sz val="11.0"/>
        <rFont val="Calibri"/>
      </rPr>
      <t>小程序-课程接入iOS 端虚拟支付</t>
    </r>
  </si>
  <si>
    <r>
      <rPr>
        <color indexed="12"/>
        <sz val="11.0"/>
        <rFont val="Calibri"/>
      </rPr>
      <t>2026/06/10 15:29:25 GMT+08:00</t>
    </r>
  </si>
  <si>
    <t xml:space="preserve">微信官方文档——虚拟支付 /iOS 端接入：https://developers.weixin.qq.com/miniprogram/dev/platform-capabilities/business-capabilities/virtual-payment/ios.html
原型图
序号
组件名称
功能描述
备注
1
课程购买
1、对于IOS端设备用户，在课程购买页面，取消显示添加客服购买，显示购买课程和训练营按钮，点击后操作逻辑与安卓设备一致，同意购买协议，完成支付后提示购买成功
</t>
  </si>
  <si>
    <r>
      <rPr>
        <color indexed="12"/>
        <sz val="11.0"/>
        <rFont val="Calibri"/>
      </rPr>
      <t>小程序-积分系统测试通知说明</t>
    </r>
  </si>
  <si>
    <r>
      <rPr>
        <color indexed="12"/>
        <sz val="11.0"/>
        <rFont val="Calibri"/>
      </rPr>
      <t>2026/06/22 08:54:10 GMT+08:00</t>
    </r>
  </si>
  <si>
    <r>
      <rPr>
        <color indexed="12"/>
        <sz val="11.0"/>
        <rFont val="Calibri"/>
      </rPr>
      <t>已关闭</t>
    </r>
  </si>
  <si>
    <r>
      <rPr>
        <color indexed="12"/>
        <sz val="11.0"/>
        <rFont val="Calibri"/>
      </rPr>
      <t>2026/06/08</t>
    </r>
  </si>
  <si>
    <r>
      <rPr>
        <color indexed="12"/>
        <sz val="11.0"/>
        <rFont val="Calibri"/>
      </rPr>
      <t>2026/06/30</t>
    </r>
  </si>
  <si>
    <r>
      <rPr>
        <color indexed="12"/>
        <sz val="11.0"/>
        <rFont val="Calibri"/>
      </rPr>
      <t>2026/06/02 13:39:19 GMT+08:00</t>
    </r>
  </si>
  <si>
    <t xml:space="preserve">
原型图
序号
组件名称
功能描述
备注
1
通知说明
1、 有问必答首页下，显示一条滚动通知说明：“尊敬的用户，感谢您参与积分系统内测！积分系统将于6月25日正式上线，届时测试期积分将统一清零，敬请期待！”
2、 点击关闭按钮，关闭通知条
6月25日发版，积分全部清零。针对资料编辑已完成、粉丝数已达成重新发放积分
</t>
  </si>
  <si>
    <r>
      <rPr>
        <color indexed="12"/>
        <sz val="11.0"/>
        <rFont val="Calibri"/>
      </rPr>
      <t>管理后台-用户列表积分数据同步</t>
    </r>
  </si>
  <si>
    <r>
      <rPr>
        <color indexed="12"/>
        <sz val="11.0"/>
        <rFont val="Calibri"/>
      </rPr>
      <t>2026/07/03 15:56:54 GMT+08:00</t>
    </r>
  </si>
  <si>
    <r>
      <rPr>
        <color indexed="12"/>
        <sz val="11.0"/>
        <rFont val="Calibri"/>
      </rPr>
      <t>2026/05/28 18:35:24 GMT+08:00</t>
    </r>
  </si>
  <si>
    <t xml:space="preserve">当前问题：管理后台-用户列表的积分值数据每日只定时同步一次，数据滞后
预期效果：和小程序用户实时看到积分值变动和明细一样，每次用户积分发生一次明细变动时，同步记录同时更新用户积分值
</t>
  </si>
  <si>
    <r>
      <rPr>
        <color indexed="12"/>
        <sz val="11.0"/>
        <rFont val="Calibri"/>
      </rPr>
      <t>积分明细显示更多相关信息</t>
    </r>
  </si>
  <si>
    <r>
      <rPr>
        <color indexed="12"/>
        <sz val="11.0"/>
        <rFont val="Calibri"/>
      </rPr>
      <t>2026/07/03 15:56:49 GMT+08:00</t>
    </r>
  </si>
  <si>
    <r>
      <rPr>
        <color indexed="12"/>
        <sz val="11.0"/>
        <rFont val="Calibri"/>
      </rPr>
      <t>2026/05/28 18:21:26 GMT+08:00</t>
    </r>
  </si>
  <si>
    <t xml:space="preserve">UI链接：https://mastergo.com/file/164826850168556?page_id=1283%3A10145&amp;shareId=164826850168556
原型图
序号
组件名称
功能描述
备注
1
积分明细
1、 管理后台-积分变更管理：后台扣除/充值时，备注栏由选填改为必填，填写后小程序端的积分明细条目下增加显示该备注信息
2、 小程序-积分明细：对于兑换礼品、案例（被）复制、浏览帖子、发布帖子、删除帖子，显示礼品/案例/帖子名称
3、 管理后台-用户列表：详情-积分列表，浏览帖子、抽奖消耗的备注列显示帖子id、抽奖记录id，点击可查看详情
</t>
  </si>
  <si>
    <r>
      <rPr>
        <color indexed="12"/>
        <sz val="11.0"/>
        <rFont val="Calibri"/>
      </rPr>
      <t>管理后台-积分规则增加有效期管理</t>
    </r>
  </si>
  <si>
    <r>
      <rPr>
        <color indexed="12"/>
        <sz val="11.0"/>
        <rFont val="Calibri"/>
      </rPr>
      <t>2026/07/03 15:56:45 GMT+08:00</t>
    </r>
  </si>
  <si>
    <r>
      <rPr>
        <color indexed="12"/>
        <sz val="11.0"/>
        <rFont val="Calibri"/>
      </rPr>
      <t>2026/05/27 17:41:32 GMT+08:00</t>
    </r>
  </si>
  <si>
    <t xml:space="preserve">
原型图
序号
组件名称
功能描述
备注
1
积分有效期
1、  位置：在积分规则管理-总体规则页面下增加积分有效期字段
2、  有效期：必选下拉选择框，包含30天、90天、180天、365天（默认）
3、  生效时间：有效期变更从生效时间开始，直至下次变更
</t>
  </si>
  <si>
    <r>
      <rPr>
        <color indexed="12"/>
        <sz val="11.0"/>
        <rFont val="Calibri"/>
      </rPr>
      <t>小程序-互动专栏</t>
    </r>
  </si>
  <si>
    <r>
      <rPr>
        <color indexed="12"/>
        <sz val="11.0"/>
        <rFont val="Calibri"/>
      </rPr>
      <t>2026/07/03 15:56:40 GMT+08:00</t>
    </r>
  </si>
  <si>
    <r>
      <rPr>
        <color indexed="12"/>
        <sz val="11.0"/>
        <rFont val="Calibri"/>
      </rPr>
      <t>2026/05/27 17:40:42 GMT+08:00</t>
    </r>
  </si>
  <si>
    <t xml:space="preserve">UI链接：https://mastergo.com/file/164826850168556?page_id=1283%3A10145&amp;shareId=164826850168556
原型图
序号
组件名称
功能描述
备注
1
专栏
1、  入口：有问必答首页轮播图，位置与推荐关注相同
2、  轮播图：内容、显示时段、顺序由后台配置，当天无专栏配置时，该区域和推荐关注一样隐藏（专栏优先级高于推荐关注，两者同时开启时只展示专栏内容）
2
专栏详情
1、 阶段提醒：
● 预热期：互动尚未开始，内容先睹为快！互动期开启后即可参与讨论。
● 互动期：专家限时互动中，快来参与交流！
● 回顾期：互动已结束，欢迎回顾精彩内容和评论。
2、 专栏内容：标题名称和正文内容由后台配置
3、 嘉宾卡片：位置处于正文下方，评论区上方。嘉宾账号由后台配置，小程序端显示嘉宾卡片，头像、名称、身份标签和关注按钮，与推荐关注类似，已关注后按钮状态切换至私信（在三个阶段都能正常交互，点击头像跳转嘉宾主页、关注/私信）
4、 评论状态：
● 评论区-预热期：提示“评论区未开放，YYYY年MM月DD日即可参与讨论”，评论栏隐藏
● 评论区-互动期：正常开放评论
● 评论区-回顾期：提示“互动已结束，敬请期待下次专栏互动”，评论栏隐藏，互动期内的评论正常展示但不能交互
5、 评论区：样式和规则与帖子类似，相当于该篇专栏作者为嘉宾，但嘉宾评论时，”作者“标签不显示，“作者赞过”标签不显示；评论栏的收藏按钮隐藏
6、 分享：分享到聊天或朋友圈采用后台配置的分享标题和图片
点赞、评论、回复在个人中心正常显示记录（包括嘉宾本人）
</t>
  </si>
  <si>
    <r>
      <rPr>
        <color indexed="12"/>
        <sz val="11.0"/>
        <rFont val="Calibri"/>
      </rPr>
      <t>管理后台-互动专栏管理</t>
    </r>
  </si>
  <si>
    <r>
      <rPr>
        <color indexed="12"/>
        <sz val="11.0"/>
        <rFont val="Calibri"/>
      </rPr>
      <t>2026/07/03 15:56:36 GMT+08:00</t>
    </r>
  </si>
  <si>
    <r>
      <rPr>
        <color indexed="12"/>
        <sz val="11.0"/>
        <rFont val="Calibri"/>
      </rPr>
      <t>2026/05/27 17:40:21 GMT+08:00</t>
    </r>
  </si>
  <si>
    <t xml:space="preserve">
原型图
序号
组件名称
功能描述
备注
1
专栏管理
1、  入口：系统管理-互动专栏管理
2、  列表项：包含排序操作列、专栏ID、专栏名称、嘉宾名称、预热期、互动期、回顾期、评论数、状态、操作列
3、  状态：包含未开始、预热期、互动期、回顾期、结束，根据时间进行判断，早于预热期即为未开始，晚于回顾期即为结束
4、  排序：按创建时间倒序排列，拖拽左侧的排序图标进行排序，小程序端有问必答按排序展示专栏banner。当状态为未开始或结束时，首页banner不显示该专栏。结束状态不支持拖拽排序，默认排在末尾
5、  筛选：可按专栏名称、嘉宾名称、状态查询
6、  操作-编辑：点击后，打开编辑互动专栏弹窗，内容与新建类似。阶段设置中信息，已过去的阶段内容不可修改（比如预热期结束，互动期进行中，预热期时间范围和banner图不可编辑，互动期的开始时间不可编辑，结束时间不能早于编辑当天）。预热期开始后，嘉宾信息不可编辑
7、  操作-删除：仅当未开始状态可删除
2
新建专栏
1、  操作：点击新建专栏按钮，打开新建互动专栏对话框，包含阶段设置、专栏内容和分享设置
2、  阶段设置：均为必填，三个阶段的开始时间、结束时间、banner图。时间格式为YYYY-MM-DD，banner图限制一张
a)  预热期开始时间 ≥ 当前时间
b)  结束时间 &gt; 开始时间
c)  持续时长 ≥ 1天
d)  三个阶段的时间必须按顺序连续无重合，比如1-10、11-20、21-30
3、  分享设置：均为必填，分享标题默认带入专栏名称，可修改，不超过20字符；分享缩略图限一张不超过20字符；分享缩略图限一张
4、  专栏内容：均为必填，专栏名称不超过20字符；专栏内容采用富文本编辑器，不超过2000字符，不超过5张，支持png、jpg、jpeg格式，单张大小不超过5M分段式自由组合，支持小标题、正文、图片三种形式，小标题最多 5 个，每标题 ≤ 20 字符，正文内容最多 5 段，每段 ≤ 500 字符，图片 最多 5 张，≤ 5MB，png/jpg/jpeg，顺序可以上下切换，支持删除分段，最少有一段内容，且不能为空；嘉宾账号为下拉框，可选为用户状态正常的全站用户列表；嘉宾标签为多选下拉框，最多选3个，可选项为压铸达人、模流达人、专家、铸问工程师、铸问专家团、特邀嘉宾、行业大咖 ，用户自身的身份标签默认为选上的状态，不可取消选中，可以多选其他标签（选中的其他标签不显示在其他页面，仅作用于互动专栏页面）
新建或编辑时，需校验专栏的时间不能与推荐关注的时间有重叠
同时存在专栏和推荐关注时，优先展示专栏，隐藏推荐关注
3
评论详情
1、 操作：点击评论列的查看按钮，打开评论详情弹窗，显示专栏下评论列表，评论ID、评论状态、评论人账号ID、评论人用户昵称、评论人用户身份、评论文本、评论图片、发布时间（与帖子详情类似）
2、 删除和屏蔽：操作列的删除和屏蔽功能参考评论管理
</t>
  </si>
  <si>
    <r>
      <rPr>
        <color indexed="12"/>
        <sz val="11.0"/>
        <rFont val="Calibri"/>
      </rPr>
      <t>签到人数埋点分析</t>
    </r>
  </si>
  <si>
    <r>
      <rPr>
        <color indexed="12"/>
        <sz val="11.0"/>
        <rFont val="Calibri"/>
      </rPr>
      <t>2026/07/03 15:56:32 GMT+08:00</t>
    </r>
  </si>
  <si>
    <r>
      <rPr>
        <color indexed="12"/>
        <sz val="11.0"/>
        <rFont val="Calibri"/>
      </rPr>
      <t>2026/05/27 14:58:26 GMT+08:00</t>
    </r>
  </si>
  <si>
    <t xml:space="preserve">签到人数统计
用户ID初始化关联字段：
用户名称、手机号、身份、积分、状态、注册时间
</t>
  </si>
  <si>
    <r>
      <rPr>
        <color indexed="12"/>
        <sz val="11.0"/>
        <rFont val="Calibri"/>
      </rPr>
      <t>小程序-积分任务跳转后增加返回按钮</t>
    </r>
  </si>
  <si>
    <r>
      <rPr>
        <color indexed="12"/>
        <sz val="11.0"/>
        <rFont val="Calibri"/>
      </rPr>
      <t>2026/06/22 08:54:15 GMT+08:00</t>
    </r>
  </si>
  <si>
    <r>
      <rPr>
        <color indexed="12"/>
        <sz val="11.0"/>
        <rFont val="Calibri"/>
      </rPr>
      <t>2026/05/25</t>
    </r>
  </si>
  <si>
    <r>
      <rPr>
        <color indexed="12"/>
        <sz val="11.0"/>
        <rFont val="Calibri"/>
      </rPr>
      <t>2026/06/17</t>
    </r>
  </si>
  <si>
    <r>
      <rPr>
        <color indexed="12"/>
        <sz val="11.0"/>
        <rFont val="Calibri"/>
      </rPr>
      <t>2026/05/26 14:38:15 GMT+08:00</t>
    </r>
  </si>
  <si>
    <t xml:space="preserve">UI链接：https://mastergo.com/file/164826850168556?page_id=1259%3A09009&amp;shareId=164826850168556
首页增加积分获取入口
原型图
序号
组件名称
功能描述
备注
1
积分获取
1、  位置：位于首页和帖子详情页右上角区域
2、  显示条件：从积分获取页点击“去完成”进入有问必答首页时
3、 隐藏条件：5 min 后隐藏
4、 隐藏条件-立即隐藏：
 点击了返回“积分获取”按钮
点击右上角退出按钮，或重新进入小程序
点击底部其他导航栏（除发布帖子外）
点击搜索按钮
点击AI按钮
</t>
  </si>
  <si>
    <r>
      <rPr>
        <color indexed="12"/>
        <sz val="11.0"/>
        <rFont val="Calibri"/>
      </rPr>
      <t>管理后台-积分礼品管理列表增加性质列</t>
    </r>
  </si>
  <si>
    <r>
      <rPr>
        <color indexed="12"/>
        <sz val="11.0"/>
        <rFont val="Calibri"/>
      </rPr>
      <t>2026/06/22 08:54:20 GMT+08:00</t>
    </r>
  </si>
  <si>
    <r>
      <rPr>
        <color indexed="12"/>
        <sz val="11.0"/>
        <rFont val="Calibri"/>
      </rPr>
      <t>2026/05/25 14:50:43 GMT+08:00</t>
    </r>
  </si>
  <si>
    <t xml:space="preserve">
原型图
序号
组件名称
功能描述
备注
1
性质
1、 积分礼品管理页面下，在表格分类列后增加一列“性质”，性质的内容可由分类获取到
2、 在筛选栏增加“性质”属性的筛选
</t>
  </si>
  <si>
    <r>
      <rPr>
        <color indexed="12"/>
        <sz val="11.0"/>
        <rFont val="Calibri"/>
      </rPr>
      <t>管理后台-积分抽奖管理增加上传缩略图和奖品重命名</t>
    </r>
  </si>
  <si>
    <r>
      <rPr>
        <color indexed="12"/>
        <sz val="11.0"/>
        <rFont val="Calibri"/>
      </rPr>
      <t>2026/06/22 08:54:25 GMT+08:00</t>
    </r>
  </si>
  <si>
    <r>
      <rPr>
        <color indexed="12"/>
        <sz val="11.0"/>
        <rFont val="Calibri"/>
      </rPr>
      <t>2026/05/22 17:57:05 GMT+08:00</t>
    </r>
  </si>
  <si>
    <t xml:space="preserve">当前状态：积分商城的礼品自动关联封面图、抽奖专用的谢谢参与和积分奖固定图标
修改为：
1、图片：积分商城的实物性质礼品为上传抽奖缩略图，图片字段为必填；虚拟性质的缩略图采用下拉框选择库内图标；课程性质、抽奖专用奖品采用固定图标，图片字段自动关联，只读
2、 抽奖名称：商城内名礼品名称较长，为适配前端抽奖页面布局，对礼品名称超过5个字符的奖品，需要补充填写“抽奖名称”，不超过5个字符，此字段对应于抽奖页面九宫格奖品的名称（不超过5个字符自动带入原名称，无需填写抽奖名称）
3、编辑配置时，图片和抽奖名称可以正常编辑
</t>
  </si>
  <si>
    <r>
      <rPr>
        <color indexed="12"/>
        <sz val="11.0"/>
        <rFont val="Calibri"/>
      </rPr>
      <t>管理后台-规则编辑增加生效时间</t>
    </r>
  </si>
  <si>
    <r>
      <rPr>
        <color indexed="12"/>
        <sz val="11.0"/>
        <rFont val="Calibri"/>
      </rPr>
      <t>2026/06/22 08:54:31 GMT+08:00</t>
    </r>
  </si>
  <si>
    <r>
      <rPr>
        <color indexed="12"/>
        <sz val="11.0"/>
        <rFont val="Calibri"/>
      </rPr>
      <t>2026/05/13 18:28:23 GMT+08:00</t>
    </r>
  </si>
  <si>
    <t xml:space="preserve">
积分规则管理页面-积分任务列表
原型图
序号
组件名称
功能描述
备注
1
编辑
1、 操作列不显示启用/禁用按钮，编辑弹窗增加状态字段，单选按钮组，包含正常和禁用
2、 编辑弹窗增加生效设置：包含立即生效和定时生效（默认），选择定时生效时，必选日期，可选日期为编辑日的第二天起未来的日期，0点生效
3、 二次确认：点击编辑确定后，二次确认提示“确定修订规则？”，确定后按生效时间修改规则
多次编辑时，下次打开的编辑弹窗内字段会显示上次保存的数据，不一定是列表当前的数据
2
生效
1、 定时生效-还未生效：发生修订的列以红色字体显示（内容显示修订前的数据），并在操作一栏增加“待生效”按钮，点击打开“规则修订待生效”弹窗
2、 定时生效-已生效或立即生效：直接修改列表数据即可
3
撤销
“规则修订待生效”弹窗
1、 弹窗内容：可查看修订前和修订后的字段变化情况，以及生效设置的信息，仅读不可编辑
2、 操作-关闭：点击后关闭弹窗
3、 操作-撤销：点击按钮，二次确认提示“是否撤销规则修订”，确定后规则保持当前状态，修订的列恢复黑色字体显示，在操作栏不再显示“待生效”按钮
未生效前的多次编辑后，“规则修订待生效”弹窗内容展示的是最新编辑数据
积分规则管理页面-总体规则
原型图
序号
组件名称
功能描述
备注
1
编辑
1、 编辑后增加生效设置：包含立即生效和定时生效（默认），选择定时生效时，必选日期，可选日期为编辑日的第二天起未来的日期，0点生效
2、 二次确认：点击编辑确定后，二次确认提示“确定修订规则？”，确定后按生效时间修改规则
多次编辑时，下次打开的编辑弹窗内字段会显示上次保存的数据，不一定是当前的数据
2
生效
1、 定时生效-还未生效：发生修订的字段内容以红色字体显示（内容显示修订前的数据），并在编辑按钮旁增加“待生效”标签，点击标签打开“规则修订待生效”弹窗
2、 定时生效-已生效或立即生效：直接修改数据即可
3
撤销
“规则修订待生效”弹窗
1、 弹窗内容：可查看修订前和修订后的字段变化情况，以及生效设置的信息，仅读不可编辑
2、 操作-关闭：点击后关闭弹窗
3、 操作-撤销：点击按钮，二次确认提示“是否撤销规则修订”，确定后规则保持当前状态，修订的列恢复黑色字体显示，在编辑按钮旁不再显示“待生效”按钮
未生效前的多次编辑后，“规则修订待生效”弹窗内容展示的是最新编辑数据
</t>
  </si>
  <si>
    <r>
      <rPr>
        <color indexed="12"/>
        <sz val="11.0"/>
        <rFont val="Calibri"/>
      </rPr>
      <t>管理后台-积分变更管理和订单管理增加数据导出</t>
    </r>
  </si>
  <si>
    <r>
      <rPr>
        <color indexed="12"/>
        <sz val="11.0"/>
        <rFont val="Calibri"/>
      </rPr>
      <t>2026/06/03 10:53:36 GMT+08:00</t>
    </r>
  </si>
  <si>
    <r>
      <rPr>
        <color indexed="12"/>
        <sz val="11.0"/>
        <rFont val="Calibri"/>
      </rPr>
      <t>2026/05/12</t>
    </r>
  </si>
  <si>
    <r>
      <rPr>
        <color indexed="12"/>
        <sz val="11.0"/>
        <rFont val="Calibri"/>
      </rPr>
      <t>2026/06/02</t>
    </r>
  </si>
  <si>
    <r>
      <rPr>
        <color indexed="12"/>
        <sz val="11.0"/>
        <rFont val="Calibri"/>
      </rPr>
      <t>2026/05/13 14:43:55 GMT+08:00</t>
    </r>
  </si>
  <si>
    <t xml:space="preserve">1、积分变更管理和订单管理表格增加“导出Excel”按钮
导出Excel：点击按钮，可通过浏览器下载文件，文件名为“积分变更记录”，格式为.xlsx
● 导出列：包含列表除操作列的全部信息
● 导出行：根据筛选结果的列表行导出
● 导出上限：最高支持10万条，否则提示“导出数据超过10万条，暂不支持”
2、用户列表页面，支持积分导出
目前问题：新增积分列没有导出
期望效果：能将积分列数据一并导出，除了操作和头像列
</t>
  </si>
  <si>
    <r>
      <rPr>
        <color indexed="12"/>
        <sz val="11.0"/>
        <rFont val="Calibri"/>
      </rPr>
      <t>小程序-积分任务完成后增加反馈提示</t>
    </r>
  </si>
  <si>
    <r>
      <rPr>
        <color indexed="12"/>
        <sz val="11.0"/>
        <rFont val="Calibri"/>
      </rPr>
      <t>2026/07/03 15:56:27 GMT+08:00</t>
    </r>
  </si>
  <si>
    <r>
      <rPr>
        <color indexed="12"/>
        <sz val="11.0"/>
        <rFont val="Calibri"/>
      </rPr>
      <t>2026/05/13 10:49:30 GMT+08:00</t>
    </r>
  </si>
  <si>
    <t xml:space="preserve">UI链接：https://mastergo.com/file/164826850168556?page_id=1259%3A09009&amp;shareId=164826850168556
积分任务完成反馈
原型图
序号
组件名称
功能描述
备注
1
反馈弹窗
1、  任务完成反馈弹窗：包含反馈提示语、不再提示按钮、关闭按钮，位于屏幕的底部区域
2、  提示语和触发时间：见任务完成反馈模板定义
3、 反馈时效-无操作：3s 后自动关闭
4、 反馈时效-关闭操作：点击关闭按钮，立即关闭
5、 反馈时效-不再提示操作：点击不再提示按钮，立即关闭，且7日内不再弹出反馈提示
6、 提示合并：当积分反馈在时效范围内、用户已登录、按完成标准完成任务且完成次数未超过时，原来的发布帖子、评论帖子（大于8个字符）、分享到聊天/朋友圈完成后的toast提示不显示，统一显示积分反馈提示；其余情况显示原来提示
任务完成反馈模板定义
任务类型
反馈提示语
完成标准
浏览帖子
完成浏览帖子，获得{n}积分
打开帖子详情页
发布帖子
帖子审核中，通过后可获得{n}积分
完成帖子发布
评论帖子
评论审核中，通过后可获得{n}积分
任意帖子下发布不少于8字符的评论
分享到聊天/朋友圈
完成分享，获得{n}积分
完成分享操作
</t>
  </si>
  <si>
    <r>
      <rPr>
        <color indexed="12"/>
        <sz val="11.0"/>
        <rFont val="Calibri"/>
      </rPr>
      <t>小程序-虚拟服务兑换详情页面增加客服联系方式</t>
    </r>
  </si>
  <si>
    <r>
      <rPr>
        <color indexed="12"/>
        <sz val="11.0"/>
        <rFont val="Calibri"/>
      </rPr>
      <t>2026/06/03 10:53:31 GMT+08:00</t>
    </r>
  </si>
  <si>
    <r>
      <rPr>
        <color indexed="12"/>
        <sz val="11.0"/>
        <rFont val="Calibri"/>
      </rPr>
      <t>2026/05/12 18:27:03 GMT+08:00</t>
    </r>
  </si>
  <si>
    <t xml:space="preserve">UI链接：https://mastergo.com/file/164826850168556?page_id=1259%3A09009&amp;shareId=164826850168556
原型图
序号
组件名称
功能描述
备注
1
客服二维码
1、 当兑换的虚拟性质礼品状态为“待使用”时，在&lt; 兑换详情 &gt;页面增加“长按识别二维码添加客服，提供兑换码即可完成兑换”提示和客服二维码
</t>
  </si>
  <si>
    <r>
      <rPr>
        <color indexed="12"/>
        <sz val="11.0"/>
        <rFont val="Calibri"/>
      </rPr>
      <t>管理后台-通知中心</t>
    </r>
  </si>
  <si>
    <r>
      <rPr>
        <color indexed="12"/>
        <sz val="11.0"/>
        <rFont val="Calibri"/>
      </rPr>
      <t>2026/07/17 09:50:05 GMT+08:00</t>
    </r>
  </si>
  <si>
    <r>
      <rPr>
        <color indexed="12"/>
        <sz val="11.0"/>
        <rFont val="Calibri"/>
      </rPr>
      <t>2026/05/09 16:57:32 GMT+08:00</t>
    </r>
  </si>
  <si>
    <t xml:space="preserve">
原型图
序号
组件名称
功能描述
备注
1
顶部通知栏
1、  入口：在系统顶部导航栏显示通知图标和，上角显示红色数字角标，表示未读通知数量（超过99显示"99+"）。点击后跳转到&lt; 通知中心 &gt;标签页
当从左侧导航栏某个标签页切换到&lt; 通知中心 &gt;标签页时，左侧导航栏为取消选中状态
2
筛选控制区
1、  状态：包含"全部"（默认）、"未读"和“已读”，"未读"显示未读数量
2、  筛选：可按页面、用户名称查询、
3、  页面：下拉选择框，用于筛选特定模块通知，可选项为投诉管理、订单管理、用户反馈、抽奖管理、用户列表、企业培训、线下培训、课程订单
4、  用户名称：文本输入框，支持输入用户名称进行模糊搜索，用于筛选用户相关的通知
3
消息列表区
1、  列表排序：列表以卡片或行形式展示，按消息时间倒序排列
2、  列表项：
a)  阅读状态：
i)  未读：左侧显示红色圆点，卡片背景底色高亮突出
ii)  已读：无红色圆点，不设置卡片背景底色
b)  消息标题：加粗，格式为“【标签页】+ 通知标题”
c)  消息时间：参考私信详情页时间显示，聊天消息时间为一周之内时：当天的消息显示为“小时:分钟”形式，“昨天 时:分”、“前天 时:分”，“星期几 时:分”；消息的时间大于一周时：直接显示“年/月/日 时:分”的完整时间格式
d)  消息内容：显示消息详情
e)  通知定义：见后台消息模板定义
f)  点击列表项：点击消息后跳转至对应的标签页，并定位到表格中该条消息对应所在行，闪烁高亮提示。如消息为未读，点击后状态变为已读，未读数减1
投诉反馈通知定位到用户名称相关的最新投诉所在行
消息模板定义
标签页
通知标题
消息内容
触发场景
投诉管理
新投诉通知
投诉ID：{投诉ID}，用户{投诉人名称}投诉{被投诉人名称}的帖子《{被投诉帖子标题}》涉及{投诉原因}，请及时查看处理！
用户提交新投诉
投诉管理
投诉反馈通知
投诉ID：{投诉ID}，(被)投诉人用户{(被)投诉人名称}提交了新的投诉相关举证信息，请及时查看处理！
(被)投诉人补充举证材料，每日15：00用户发送消息仍为未读时触发通知，同一用户一天只发送一条通知
订单管理
新积分订单通知
订单ID：{积分订单ID}，用户名称：{用户名称}，礼品名称：{礼品名称}，状态：{订单状态}，请及时查看处理！
实物或虚拟性质订单
订单管理
订单取消通知
订单ID：{订单ID}，用户{用户名称}自行取消了该订单，请及时查看处理！
用户取消订单
抽奖管理
新中奖通知
中奖ID：{中奖ID}，用户名称：{用户名称}，奖品名称：{奖品名称}，状态：{中奖记录状态}，请及时查看处理！
实物或虚拟（谢谢参与、积分奖除外）性质订单
用户列表
新用户注册通知
有新用户注册了小程序，手机号：{用户注册手机号}，去看看吧！
用户注册
用户反馈
新用户反馈通知
用户{用户名称}对压铸百科的{章节名称}-{小节名称}提交了优化建议，请及时查看处理！
用户提交反馈
企业培训
新培训定制通知
用户{用户名称}提交了企业培训定制需求，请及时查看处理！
用户提交新企业培训
线下培训
新培训报名通知
用户{用户名称}报名了{培训主题名称}，请及时查看处理！
用户提交线下培训报名
课程订单
新课程订单通知
订单ID：{课程订单ID}，用户名称：{用户名称}，课程名称：{课程名称}，状态：{订单状态}，去看看吧！
用户购买课程
</t>
  </si>
  <si>
    <r>
      <rPr>
        <color indexed="12"/>
        <sz val="11.0"/>
        <rFont val="Calibri"/>
      </rPr>
      <t>小程序-积分兑换增加取消订单功能</t>
    </r>
  </si>
  <si>
    <r>
      <rPr>
        <color indexed="12"/>
        <sz val="11.0"/>
        <rFont val="Calibri"/>
      </rPr>
      <t>2026/06/22 08:54:40 GMT+08:00</t>
    </r>
  </si>
  <si>
    <r>
      <rPr>
        <color indexed="12"/>
        <sz val="11.0"/>
        <rFont val="Calibri"/>
      </rPr>
      <t>2026/05/08 16:21:37 GMT+08:00</t>
    </r>
  </si>
  <si>
    <t xml:space="preserve">UI链接：https://mastergo.com/file/164826850168556?page_id=1259%3A09009&amp;shareId=164826850168556
原型图
序号
组件名称
功能描述
备注
兑换记录
实物-待发货
虚拟-待使用
1
取消订单
1、 入口：当订单为待发货或待使用状态时，&lt; 兑换记录 &gt;页卡片右侧、&lt; 兑换详情 &gt;页状态栏处显示取消订单按钮
2、操作：点击按钮后，二次确认提示“是否取消兑换？”，确定后更新兑换记录和兑换详情状态，触发后台通知提醒并同步到后台订单管理，订单备注为“用户自行取消”
</t>
  </si>
  <si>
    <r>
      <rPr>
        <color indexed="12"/>
        <sz val="11.0"/>
        <rFont val="Calibri"/>
      </rPr>
      <t>小程序-个人中心-积分助手</t>
    </r>
  </si>
  <si>
    <r>
      <rPr>
        <color indexed="12"/>
        <sz val="11.0"/>
        <rFont val="Calibri"/>
      </rPr>
      <t>2026/06/22 08:54:45 GMT+08:00</t>
    </r>
  </si>
  <si>
    <r>
      <rPr>
        <color indexed="12"/>
        <sz val="11.0"/>
        <rFont val="Calibri"/>
      </rPr>
      <t>2026/05/08 16:20:30 GMT+08:00</t>
    </r>
  </si>
  <si>
    <t xml:space="preserve">UI链接：https://mastergo.com/file/164826850168556?page_id=1259%3A09009&amp;shareId=164826850168556
积分助手
原型图
序号
组件名称
功能描述
备注
1
消息列表
1、  入口：在&lt; 我的 &gt;页面，把私信列表从互动tab中移出，新创建一个“消息”tab，包含积分助手、系统通知和用户私信
2、  列表：列表排序、未读消息提示、时间显示与原设计保存一致
3、  消息卡片：包含消息标题（加粗）、消息内容、时间、操作链接，点击消息卡片跳转至对应页面，通知模板定义见小程序积分通知模板定义
消息tab仅在登录状态下显示
2
底部操作栏
1、  显示：悬浮固定显示在屏幕底部
2、  可用积分：显示用户积分
3、  积分明细：点击后跳转&lt; 积分明细 &gt;页面
4、  联系客服：点击后跳转&lt; 客服对话 &gt;页面
积分通知模板定义
消息标题
消息内容
操作提示语
触发场景
跳转页面
积分过期提醒
您好！您有{过期日总积分值}积分将于{积分过期时间}过期作废，请及时兑换使用！
去积分商城兑换
积分过期前十五天，按天计算，同一天过期的积分合并为一条通知（0点发送），同一用户一天只发送一条
&lt; 积分商城 &gt;页面
兑换服务使用提醒
您好！您兑换的{虚拟性质礼品名称}尚未使用，将于{兑换码过期时间}过期，请及时联系客服提供兑换码使用！
查看订单详情
兑换码过期前十五天
&lt; 兑换详情 &gt;页面
中奖服务使用提醒
您好！您抽中的{虚拟性质礼品名称}尚未使用，将于{兑换码过期时间}过期，请及时联系客服提供兑换码使用！
查看兑换详情
兑换码过期前
十五天
&lt; 抽奖-奖品兑换详情 &gt;页面
取消订单通知
后台取消：很抱歉通知您，您兑换的{礼品名称}（订单号：{订单ID}）因系统原因被平台取消，积分已退回至您的账号，如有疑问，请联系在线客服，感谢您的理解与支持！
用户本人取消：您好！您已取消{礼品名称}兑换（订单号：{订单ID}），积分已退回至您的账号，如有疑问，请联系在线客服，感谢您的理解与支持！
查看订单详情
后台取消订单或用户本人取消订单
&lt; 兑换详情 &gt;页面
签到提醒
您好！您本周期已连续签到{已连签天数}天，今日完成签到可收获额外奖励，快去完成吧！
去签到
已连续签到2天/6天/14天/29天（30天为一周期，32天/36天……也需要提醒），10：00还未签到
&lt; 签到 &gt;页面
积分过期提醒-短信提醒：
【适创腾扬】您好！您有{过期日总积分值}积分将于{积分过期时间}过期作废，请及时登录铸问小程序，前往积分商城使用！
</t>
  </si>
  <si>
    <r>
      <rPr>
        <color indexed="12"/>
        <sz val="11.0"/>
        <rFont val="Calibri"/>
      </rPr>
      <t>小程序-积分抽奖</t>
    </r>
  </si>
  <si>
    <r>
      <rPr>
        <color indexed="12"/>
        <sz val="11.0"/>
        <rFont val="Calibri"/>
      </rPr>
      <t>2026/06/22 08:54:50 GMT+08:00</t>
    </r>
  </si>
  <si>
    <r>
      <rPr>
        <color indexed="12"/>
        <sz val="11.0"/>
        <rFont val="Calibri"/>
      </rPr>
      <t>2026/05/08 16:19:23 GMT+08:00</t>
    </r>
  </si>
  <si>
    <t xml:space="preserve">UI链接：https://mastergo.com/file/164826850168556?page_id=1259%3A09009&amp;shareId=164826850168556
积分抽奖页面
原型图
序号
组件名称
功能描述
备注
1
积分信息区
1、  入口：积分商城首页点击抽奖进入
2、  我的积分：显示用户的积分
3、  我的奖品：点击按钮后，跳转进入&lt; 我的奖品 &gt;页
2
抽奖标题
1、 内容由后台配置“抽奖赢好礼”
3
九宫格抽奖区
1、  布局：3×3布局，奖品的配置如名称、中奖概率等由后台配置
2、  抽奖按钮：位于九宫格中心，显示每次抽奖消耗积分
● 积分≥单次抽奖积分且剩余次数&gt;0：点击后启动抽奖，九宫格滚动动画持续3s，高亮显示中奖格，弹出中奖结果弹窗，完成积分、次数、库存等信息更新
● 积分＜单次抽奖积分：点击后打开“积分不足”弹窗，点击“做任务，赚积分”按钮，跳转到&lt; 积分获取 &gt;页面，
● 剩余次数为0：抽奖按钮置灰，点击提示"今日抽奖次数已用完，明天再来吧"
UI设计谢谢参与、积分奖图片，实物商品的判断能否使用商城封面图，规定图片尺寸
4
剩余次数
1、  “今日剩余次数：{n}次”
2、  每日零点刷新抽奖次数
5
抽奖规则
1、  内容由后台配置
中奖结果和奖品兑换
原型图
序号
组件名称
功能描述
备注
中奖结果
实物中奖
虚拟中奖
课程中奖
1
实物
1、 提示语：恭喜中奖！
2、 奖品信息：显示实物奖品名称和图片
3、 奖品兑换提示：填写收货地址后，我们将尽快为您发货
4、 继续抽奖：点击后，关闭弹窗，回到&lt; 积分抽奖 &gt;页面
5、 兑换奖品：点击后，跳转&lt; 奖品兑换-实物性质 &gt;页面
● &lt; 奖品兑换-实物 &gt;页面：样式与&lt; 礼品兑换-实物性质 &gt;页类似，实物的地址管理保存一致，奖品卡片显示奖品价值（奖品卡片点击不跳转&lt; 礼品详情 &gt;页）奖品信息下显示奖品的详情图，便于了解奖品的具体信息。底部信息显示“奖品价值：{n}积分”，完成地址校验后点击确认兑换后，进入&lt; 奖品兑换成功 &gt;页面
● &lt; 奖品兑换成功-实物性质 &gt;页面：样式与&lt; 兑换成功-实物性质 &gt;类似，但跳转按钮为“查看中奖记录”（点击后跳转&lt; 我的奖品 &gt;页面）和“继续抽奖”（点击后跳转&lt; 积分抽奖 &gt;页面）
● &lt; 奖品兑换-虚拟和课程性质 &gt;页面：样式与&lt; 奖品兑换详情 &gt;页类似， &lt;奖品兑换&gt;页面多一个“继续抽奖”按钮和礼品详情图，不显示兑换状态
谢谢参与的反馈图案尽量以鼓励为主
2
谢谢参与
1、  提示语：谢谢参与！
2、  奖品信息：“很遗憾，与奖品擦肩而过，再试一次吧”
3、  继续抽奖：点击后，关闭弹窗，回到&lt; 积分抽奖 &gt;页面
3
课程
1、 提示语：恭喜中奖！
2、 奖品信息：显示课程奖品名称和图片
3、 查看课程：点击后，跳转到&lt; 课程详情 &gt;页面，&lt;奖品兑换-课程性质&gt;页面
● &lt; 奖品兑换-虚拟性质 &gt;页面：顶部显示课程学习查看按钮，点击后跳转&lt; 课程详情 &gt;页面。点击““继续抽奖”后，跳转&lt; 积分抽奖 &gt;页面。奖品信息下显示奖品的详情图，便于了解奖品的具体信息
4、 继续抽奖：点击后，关闭弹窗，回到&lt; 积分抽奖 &gt;页面
4
虚拟
1、  提示语：恭喜中奖！
2、  奖品信息：显示虚拟奖品名称和图片
3、  继续抽奖：点击后，关闭弹窗，回到&lt; 积分抽奖 &gt;页面
4、  兑换奖品：点击后，跳转&lt; 奖品兑换-虚拟性质 &gt;页面
● &lt; 奖品兑换-虚拟性质 &gt;页面：顶部显示兑换码、复制按钮、兑换有效期、兑换提示语“长按识别二维码添加客服，提供兑换码即可完成兑换”。奖品卡片显示奖品价值（奖品卡片点击不跳转&lt; 礼品详情 &gt;页），点击““继续抽奖”后，跳转&lt; 积分抽奖 &gt;页面。奖品信息下显示奖品的详情图，便于了解奖品的具体信息
兑换码：260101+6位随机数字。兑换码的日期为有效期到期日（有效期为三个月）
5
积分
1、  提示语：恭喜中奖！
2、  奖品信息：显示积分奖品名称和图片
3、  积分提示：显示用户中奖后的积分
4、  继续抽奖：点击后，关闭弹窗，回到&lt; 积分抽奖 &gt;页面
我的奖品页面
原型图
序号
组件名称
功能描述
备注
1
中奖列表
1、 列表奖品项：当抽奖结果为谢谢参与时，不记录到列表
2、 列表项：待使用-待发货-已完成-已过期排序+时间倒序
3、 奖品卡片：奖品图片、名称、中奖时间、奖品状态
4、 奖品状态：包含待使用、待发货、已过期、已完成
● 实物奖品：待使用 待兑换、待发货、已完成
● 虚拟奖品：待使用、已过期、已完成
● 课程奖品：已完成
5、  奖品兑换详情：当奖品为实物且奖品状态为待使用 待兑换时：表示未填写地址完成兑换，点击后跳转&lt; 奖品兑换-实物性质 &gt;页面；其余情况，点击奖品记录后，后进入&lt; 奖品兑换详情 &gt;页面（与积分商城的&lt; 兑换详情 &gt;页面类似，不同点是奖品卡片不可点击，不显示订单信息区，显示礼品详情图，标题显示“奖品兑换详情”，“兑换礼品”名称改为“中奖奖品”）
 &lt;奖品兑换&gt;和&lt;奖品兑换详情&gt;页面区别： &lt;奖品兑换&gt;页面多一个“继续抽奖”按钮和礼品详情图，不显示兑换状态
&lt;我的奖品&gt;页面、&lt; 奖品兑换详情 &gt;页面的奖品图片、名称为中奖时的快照
</t>
  </si>
  <si>
    <r>
      <rPr>
        <color indexed="12"/>
        <sz val="11.0"/>
        <rFont val="Calibri"/>
      </rPr>
      <t>小程序-地址选择器组件优化</t>
    </r>
  </si>
  <si>
    <r>
      <rPr>
        <color indexed="12"/>
        <sz val="11.0"/>
        <rFont val="Calibri"/>
      </rPr>
      <t>2026/05/21 15:44:26 GMT+08:00</t>
    </r>
  </si>
  <si>
    <r>
      <rPr>
        <color indexed="12"/>
        <sz val="11.0"/>
        <rFont val="Calibri"/>
      </rPr>
      <t>2026/04/24</t>
    </r>
  </si>
  <si>
    <r>
      <rPr>
        <color indexed="12"/>
        <sz val="11.0"/>
        <rFont val="Calibri"/>
      </rPr>
      <t>2026/05/21</t>
    </r>
  </si>
  <si>
    <r>
      <rPr>
        <color indexed="12"/>
        <sz val="11.0"/>
        <rFont val="Calibri"/>
      </rPr>
      <t>2026/05/06 17:45:29 GMT+08:00</t>
    </r>
  </si>
  <si>
    <t xml:space="preserve">当前问题：积分商城-实物兑换地址相关的省市区三级选择器、个人中心-资料编辑页面的省市二级选择器存在地址信息滞后、交互不流畅的问题
期望的效果：更换省市区选择器组件，确保地址信息准确符合实际情况、交互过程顺畅
</t>
  </si>
  <si>
    <r>
      <rPr>
        <color indexed="12"/>
        <sz val="11.0"/>
        <rFont val="Calibri"/>
      </rPr>
      <t>【原始需求、BUG收集ID：29】未登录状态下查看帖子评论显示文案和交互优化</t>
    </r>
  </si>
  <si>
    <r>
      <rPr>
        <color indexed="12"/>
        <sz val="11.0"/>
        <rFont val="Calibri"/>
      </rPr>
      <t>2026/06/03 10:53:26 GMT+08:00</t>
    </r>
  </si>
  <si>
    <r>
      <rPr>
        <color indexed="12"/>
        <sz val="11.0"/>
        <rFont val="Calibri"/>
      </rPr>
      <t>2026/04/29 18:15:18 GMT+08:00</t>
    </r>
  </si>
  <si>
    <t xml:space="preserve">UI链接：https://mastergo.com/file/164826850168556?page_id=1224%3A08953&amp;shareId=164826850168556 
问题：未登录状态下，查看帖子，评论区显示加载中文案，评论一直未加载出现
期望效果：
（涉及页面：有问必答帖子、课程评论、案例详情）
1、有评论时：按钮文案为“登录查看评论”，点击后跳转登录页面。评论区左上角的“全部评论(X)”未登录时隐藏
2、无评论时：按钮文案为“登录参与讨论”，点击后跳转登录页面。评论区左上角的“全部评论(X)”未登录时隐藏
</t>
  </si>
  <si>
    <r>
      <rPr>
        <color indexed="12"/>
        <sz val="11.0"/>
        <rFont val="Calibri"/>
      </rPr>
      <t>管理后台-案例库管理列表优化</t>
    </r>
  </si>
  <si>
    <r>
      <rPr>
        <color indexed="12"/>
        <sz val="11.0"/>
        <rFont val="Calibri"/>
      </rPr>
      <t>2026/06/03 10:53:22 GMT+08:00</t>
    </r>
  </si>
  <si>
    <r>
      <rPr>
        <color indexed="12"/>
        <sz val="11.0"/>
        <rFont val="Calibri"/>
      </rPr>
      <t>2026/04/28 14:37:18 GMT+08:00</t>
    </r>
  </si>
  <si>
    <t xml:space="preserve">1、复制数支持排序
2、原列表的评论数和案例评论这两列含义重复，奖案例评论列删除，查看案例评论功能置于评论数列旁边
</t>
  </si>
  <si>
    <r>
      <rPr>
        <color indexed="12"/>
        <sz val="11.0"/>
        <rFont val="Calibri"/>
      </rPr>
      <t>【原始需求、BUG收集ID：28】管理后台-帖子管理页面排版优化</t>
    </r>
  </si>
  <si>
    <r>
      <rPr>
        <color indexed="12"/>
        <sz val="11.0"/>
        <rFont val="Calibri"/>
      </rPr>
      <t>2026/06/03 10:53:16 GMT+08:00</t>
    </r>
  </si>
  <si>
    <r>
      <rPr>
        <color indexed="12"/>
        <sz val="11.0"/>
        <rFont val="Calibri"/>
      </rPr>
      <t>2026/04/27 11:55:06 GMT+08:00</t>
    </r>
  </si>
  <si>
    <t xml:space="preserve">1、操作栏，将原来的详情、删除、屏蔽、精选、置顶、配置话题按钮全部展示，修改为精选、置顶、更多，其中更多为下拉菜单，包含详情、删除、屏蔽、配置话题按钮
2、列表的用户名称、标题、关联话题、后台话题、关联位置这几列的内容超过一定宽度时采用省略号显示，鼠标悬浮时可查看全部内容，其余列根据内容调整至合适宽度
（管理后台所有标签页的列表，列宽设为固定值，内容超过一定宽度时采用省略号显示，鼠标悬浮时可查看全部内容）
3、筛选栏中话题下拉框无论是否选择内容，其宽度始终固定，当内容超过一定宽度时采用省略号显示
</t>
  </si>
  <si>
    <r>
      <rPr>
        <color indexed="12"/>
        <sz val="11.0"/>
        <rFont val="Calibri"/>
      </rPr>
      <t>【原始需求、BUG收集ID：27】管理后台-投票帖子新增排序功能</t>
    </r>
  </si>
  <si>
    <r>
      <rPr>
        <color indexed="12"/>
        <sz val="11.0"/>
        <rFont val="Calibri"/>
      </rPr>
      <t>2026/06/03 10:53:11 GMT+08:00</t>
    </r>
  </si>
  <si>
    <r>
      <rPr>
        <color indexed="12"/>
        <sz val="11.0"/>
        <rFont val="Calibri"/>
      </rPr>
      <t>2026/04/27 11:25:44 GMT+08:00</t>
    </r>
  </si>
  <si>
    <t xml:space="preserve">管理后台-有问必答管理-投票管理页面，增加投票人数列的排序功能，其功能样式与逻辑参考用户管理页关注数排序
</t>
  </si>
  <si>
    <r>
      <rPr>
        <color indexed="12"/>
        <sz val="11.0"/>
        <rFont val="Calibri"/>
      </rPr>
      <t>管理后台-积分管理-礼品分类增加性质属性</t>
    </r>
  </si>
  <si>
    <r>
      <rPr>
        <color indexed="12"/>
        <sz val="11.0"/>
        <rFont val="Calibri"/>
      </rPr>
      <t>2026/05/21 15:45:14 GMT+08:00</t>
    </r>
  </si>
  <si>
    <r>
      <rPr>
        <color indexed="12"/>
        <sz val="11.0"/>
        <rFont val="Calibri"/>
      </rPr>
      <t>2026/04/23 17:56:35 GMT+08:00</t>
    </r>
  </si>
  <si>
    <t xml:space="preserve">
原型图
序号
组件名称
功能描述
备注
1
列表
1、列表项：积分管理-礼品分类管理列表下，增加“性质”列，包含实物、虚拟、课程。主要用于判断礼品分类属于哪一种性质，这三种性质对应了所属礼品的兑换流程，实物要求地址填写、虚拟会生成兑换码、课程会直接发放
已有四个分类性质分别为：
实物商品-实物
虚拟计算服务-虚拟
模流分析服务-虚拟
虚拟课程-课程
2
新增和编辑
1、点击新增分类或编辑分类时，弹窗增加性质字段的下拉框，单选且必选
在礼品管理页面，新增礼品弹窗中，
绑定课程：仅当分类的性质为课程时，显示该字段
兑换规则： 分类的性质为非实物（课程和虚拟性质）时，显示该字段
订单管理页面：分类列改为性质列，筛选的“分类”条件也改为“性质”
状态-实物性质：包含待发货、已完成、已取消
状态-虚拟性质：包含待使用、已完成、已取消、已过期
状态-课程性质：已完成
操作-发货：仅当实物性质订单且状态为待发货时显示
操作-兑换：仅当虚拟性质订单时且状态为待使用时显示
操作-取消订单：仅当状态为待使用或待发货时显示，点击后打开取消订单对话框，备注栏非必填，不超过50字符，确定后取消订单，退回积分、虚拟性质兑换码失效、实物性质订单状态更新为已取消
虚拟和课程性质订单详情：只读，包含订单ID、订单号、用户名称、礼品名称、分类、积分、提交时间、状态、备注、兑换码和后台操作时间，其中后台操作时间为点击兑换或取消订单的时间，如礼品性质为课程时，后台操作时间为订单提交时间，兑换码为空
实物性质订单详情：只读，包含序号、订单ID、订单号、用户名称、礼品名称、分类、积分、提交时间、状态、备注、收货人、收货人联系方式、收货地址、物流公司、物流单号和后台操作时间。未发货或订单取消时，物流公司和物流单号为空
虚拟性质的礼品兑换码在三个月有效期过后，自动更新状态为已过期，兑换码失效，操作栏的兑换按钮隐藏
小程序礼品详情页面
立即兑换按钮：
● 积分不足时，立即兑换按钮文案为“积分不足”，不可点击
● 课程性质礼品：点击弹出“是否确认兑换该礼品”【确定/取消】，二次确认后即完成兑换，课程发放到账号内。确认兑换后，跳转到&lt;兑换成功-课程性质&gt;页面。（如用户已用现金购买或已兑换课程礼品，兑换按钮文案为“已拥有”，不可点击兑换)
● 虚拟性质礼品：点击弹出“是否确认兑换该礼品”【确定/取消】，二次确认后即完成兑换，跳转到&lt;兑换成功-虚拟性质&gt;页面
● 实物性质礼品：点击跳转&lt; 提交兑换 &gt;页面
</t>
  </si>
  <si>
    <r>
      <rPr>
        <color indexed="12"/>
        <sz val="11.0"/>
        <rFont val="Calibri"/>
      </rPr>
      <t>积分系统-微服务架构【跨迭代】</t>
    </r>
  </si>
  <si>
    <r>
      <rPr>
        <color indexed="12"/>
        <sz val="11.0"/>
        <rFont val="Calibri"/>
      </rPr>
      <t>2026/06/22 08:55:18 GMT+08:00</t>
    </r>
  </si>
  <si>
    <r>
      <rPr>
        <color indexed="12"/>
        <sz val="11.0"/>
        <rFont val="Calibri"/>
      </rPr>
      <t>2026/04/23 15:38:11 GMT+08:00</t>
    </r>
  </si>
  <si>
    <t xml:space="preserve"> 
</t>
  </si>
  <si>
    <r>
      <rPr>
        <color indexed="12"/>
        <sz val="11.0"/>
        <rFont val="Calibri"/>
      </rPr>
      <t>管理后台-积分变更管理</t>
    </r>
  </si>
  <si>
    <r>
      <rPr>
        <color indexed="12"/>
        <sz val="11.0"/>
        <rFont val="Calibri"/>
      </rPr>
      <t>2026/05/21 15:45:03 GMT+08:00</t>
    </r>
  </si>
  <si>
    <r>
      <rPr>
        <color indexed="12"/>
        <sz val="11.0"/>
        <rFont val="Calibri"/>
      </rPr>
      <t>2026/04/23 13:47:48 GMT+08:00</t>
    </r>
  </si>
  <si>
    <t xml:space="preserve">
原型图
序号
组件名称
功能描述
备注
1
列表
1、入口：积分管理-积分变更管理
2、列表项：包含用户ID、用户名称、变更类型、变更前积分、变更积分、变更后积分、操作时间、备注。其中操作时间为点击积分变更弹窗确定时的时间
3、排序：按积分变更操作时间倒序排列
4、筛选：可按用户ID、用户名称、变更类型、操作时间筛选列表
2
积分变更
1、 操作：点击积分变更按钮，弹出对话框
2、积分变更对话框：
用户名称：单选必填，可搜索下拉框，可选项为状态正常的用户
变更前积分：仅读，显示用户的积分
变更类型：二选一按钮，必选，包含充值（默认）和扣除，充值表示加积分，扣除表示减积分
变更积分：必填，正整数，扣除类型时小于等于当前积分。否则在输入框下提示“扣除积分不能大于已有积分值”
变更后积分：仅读，自动更新计算，充值类型时，则变更后积分=变更前积分 + 变更积分；扣除类型时，则变更后积分=变更前积分 - 变更积分
备注：非必填，不超过50字符。如填写，在用户积分明细的备注栏需显示此次填写的信息
</t>
  </si>
  <si>
    <r>
      <rPr>
        <color indexed="12"/>
        <sz val="11.0"/>
        <rFont val="Calibri"/>
      </rPr>
      <t>小程序-积分上线的页面显示</t>
    </r>
  </si>
  <si>
    <r>
      <rPr>
        <color indexed="12"/>
        <sz val="11.0"/>
        <rFont val="Calibri"/>
      </rPr>
      <t>2026/05/21 15:44:06 GMT+08:00</t>
    </r>
  </si>
  <si>
    <r>
      <rPr>
        <color indexed="12"/>
        <sz val="11.0"/>
        <rFont val="Calibri"/>
      </rPr>
      <t>2026/04/22 18:27:57 GMT+08:00</t>
    </r>
  </si>
  <si>
    <t xml:space="preserve">1、个人中心页面的签到正常显示且可点击交互
2、积分商城首页的积分获取、积分明细、兑换记录、积分规则、我的积分全部正常显示且可点击交互
3、礼品详情页的“立即兑换”按钮，正常显示
4、积分商城首页的“我的积分”、礼品详情页的“可用积分”正常显示
5、付费案例详情页的“我的积分”正常显示，“复制案例”显示且可点击交互
6、 礼品详情页，达每日或每月兑换上限时，与库存为0情况类似，兑换按钮文案为“已兑完”，不可点击
</t>
  </si>
  <si>
    <r>
      <rPr>
        <color indexed="12"/>
        <sz val="11.0"/>
        <rFont val="Calibri"/>
      </rPr>
      <t>管理后台-积分抽奖管理</t>
    </r>
  </si>
  <si>
    <r>
      <rPr>
        <color indexed="12"/>
        <sz val="11.0"/>
        <rFont val="Calibri"/>
      </rPr>
      <t>2026/06/03 10:52:56 GMT+08:00</t>
    </r>
  </si>
  <si>
    <r>
      <rPr>
        <color indexed="12"/>
        <sz val="11.0"/>
        <rFont val="Calibri"/>
      </rPr>
      <t>2026/04/22 14:00:06 GMT+08:00</t>
    </r>
  </si>
  <si>
    <t xml:space="preserve">抽奖配置
原型图
序号
组件名称
功能描述
备注
1
列表
1、  入口：积分管理-抽奖管理，左上角为“抽奖配置”和“中奖记录”的按钮组，默认进入的抽奖配置
2、  列表项：配置ID（基于配置创建时间排列从1开始生成的序号）、抽奖活动标题、单次抽奖积分、单日抽奖次数、创建时间、状态、操作列
3、  列表排序：按创建时间倒序排列，启用的配置行置顶显示
4、  状态：包含启用和禁用。只有一个配置时，默认为启用状态。当存在多个配置时，有且仅有一个配置为启用状态
2
新建抽奖配置
1、  操作：点击新建抽奖配置按钮，弹出抽奖配置对话框
2、  状态：单选按钮组、必选，包含启用（默认）和禁用。当配置表格为空即还未创建过配置时，默认为启用状态，不可编辑
3、  抽奖规则
a)  抽奖活动标题：文本编辑框，必填，不超过15字符
b)  单次抽奖积分：必填，正整数
c)  单日抽奖次数：必填，正整数
d)  抽奖规则：文本编辑框，必填，不超过500字符，支持序号、加粗等操作
4、  奖品配置
a)  奖品设置提示语：”注：抽奖页面为九宫格样式，奖品1默认位于左上角，奖品1-8依次按顺时针排序展示“
b)  奖品：固定共包含8个奖品，奖品可重复。最少包含一个抽奖性质奖品
c)  性质：包含实物、虚拟、课程、抽奖。除了积分商城礼品，系统内置两种抽奖专用礼品（抽奖性质，不能出现在分类管理、礼品管理的新增、编辑等操作）
● 抽奖-谢谢参与奖：名称为谢谢参与，性质为抽奖
● 抽奖-积分奖：名称为XX积分，性质为抽奖
d)  奖品名称及配置：单选树选择下拉框，可选项为实物-礼品管理页面正常上架的实物礼品、虚拟-礼品管理页面正常上架的虚拟礼品、抽奖-谢谢参与+积分、课程-礼品管理页面正常上架的课程礼品。当选择”积分“时，右侧显示积分输入框，必填正整数。当奖品为非抽奖性质时，备选奖品的字段为必选；当奖品为抽奖性质时，备选奖品的字段不可选
e)  图片：只读字段，自动关联。用于小程序端抽奖页面展示
● 积分商城奖品：关联礼品的封面图
● 谢谢参与奖：UI设计
● 积分奖：积分的图标
f)  中奖概率：0-100，允许为0，整数，总和要求为100%，底部实时更新显示当前概率总和
g)  库存数量：抽奖奖品的库存数量与积分商城礼品库存数量相互独立。关联积分商城的奖品时，必填，非负整数。谢谢参与和积分奖品置灰不可填写（新建配置的奖品库存与历史配置库存独立，即新建配置后，历史配置列表的库存数量不会再发生改变）
h)  备选奖品：当奖品库存为0即被抽完时，奖品的中奖概率为0，其原设定的概率会叠加到备选奖品上（小程序端抽奖页面仍显示该奖品名称和图片）。可选项为“奖品1”、……、”奖品8“，不能选择自身，备选奖品的性质必须为抽奖性质。
5、  校验：最少包含一个抽奖性质奖品，积分商城奖品的备选奖品必须为抽奖性质，中奖概率总和要求为100%
6、  二次确认：点击确定后，弹出“是否创建新抽奖配置？启用则即时生效，会覆盖此前配置”，二次确认后，完成配置更新，更新小程序端的抽奖页面，抽奖配置表格创建新数据
UI确定图片尺寸
3
查看抽奖配置
1、  操作：点击抽奖活动标题列的查看按钮，弹出抽奖配置详情弹窗
2、  与新建区别：标题为“抽奖配置详情”，所有内容为只读
4
编辑抽奖配置
1、  操作：点击操作列的编辑按钮，弹出编辑抽奖配置对话框
2、 与新建区别：标题为“编辑抽奖配置”，字段限制条件、样式与新建一样，但单次抽奖积分、单日抽奖次数、奖品性质、奖品名称及配置、图片不可编辑，只有抽奖活动标题、抽奖规则、库存数量、中奖概率、备选奖品可编辑
3、  二次确认：点击确定后，弹出“是否保存抽奖配置？”，二次确认后，完成配置更新
5
启用
1、  操作：点击操作列的启用按钮，
二次确认提示“是否启用该配置？启用后会覆盖之前的配置”，确定后更新小程序端显示状态，配置表格将启用行置顶，其余按创建时间倒序排列
2、 限制：只有状态为禁用时，操作列才显示启用按钮；状态为启用时，操作列不显示启用按钮
4
中奖详情
1、  操作：点击操作列的统计按钮，弹出中奖详情弹窗
2、  列表项：中奖ID、奖品名称、用户名称、抽奖积分、中奖时间
3、  列表排序：按中奖时间倒序排列
4、  列表筛选：可按奖品名称下拉框筛选，可选项为此配置下的8个奖品
只显示配置版本启用的时间段奖品的中奖记录
中奖记录
原型图
序号
组件名称
功能描述
备注
1
列表
1、 入口：积分管理-抽奖管理，左上角为“抽奖配置”和“中奖记录”的按钮组，点击中奖记录进入
2、 列表项：中奖ID（基于中奖时间排列从1开始生成的序号）、用户名称、奖品名称、性质、抽奖积分、中奖时间、状态、备注、操作列
3、 列表排序：按中奖时间倒序排列
4、 列表筛选：可按用户名称、奖品名称、性质、中奖时间、状态查询
5、 抽奖积分：参与抽奖一次消耗的积分
6、 中奖时间：抽奖结果弹窗的时间
7、 状态-实物性质：包含待发货、已完成
8、 状态-虚拟性质：包含待使用、已完成、已过期
9、 状态-课程性质：已完成
10、 状态-抽奖性质：已完成
11、 操作-详情：点击按钮，打开详情框
12、 操作-发货：仅当实物性质奖品且状态为待发货时显示，点击后打开发货对话框，收货人、收货人联系方式、收货地址只读；物流单号必填，自动去除首尾及中间空格，支持数字和字母，长度5-30字符；物流公司为下拉框，可选项为顺丰速运、EMS、中国邮政、中通快递、韵达快递、圆通速递、申通快递、京东物流、极兔速递。点击确定后，完成发货，订单状态更新为已完成
13、 操作-兑换：仅当除谢谢参与和积分奖的虚拟性质奖品时且状态为待使用时显示，点击打开弹窗，弹窗显示只读的兑换码和有效期，备注栏非必填，不超过50字符，确定后，订单状态更新为已完成，兑换码立即失效
收货地址对应小程序填写的所在地区+详细地址
虚拟性质的礼品兑换码在三个月有效期过后，自动更新状态为已过期，兑换码失效，操作栏的兑换按钮隐藏
状态更新：后台状态栏、小程序端的中奖记录、中奖详情
2
详情
1、  虚拟、抽奖和课程性质中奖详情：只读，包含中奖ID、用户名称、奖品名称、性质、抽奖积分、中奖时间、状态、备注、兑换码和后台操作时间，其中后台操作时间为点击兑换的时间，如奖品性质为课程或抽奖时，后台操作时间为中奖时间，兑换码为空
2、  实物性质中奖详情：只读，包含中奖ID、用户名称、奖品名称、性质、抽奖积分、中奖时间、状态、收货人、收货人联系方式、收货地址、备注、物流公司、物流单号和后台操作时间。未发货时，物流公司、物流单号、后台操作时间为空
3
导出
1、 导出Excel：点击按钮，可通过浏览器下载文件，文件名为“小程序积分抽奖记录”，格式为.xlsx
● 导出列：包含列表除操作列的全部信息（中奖ID、用户名称、奖品名称、性质、抽奖积分、中奖时间、状态、备注）
● 导出行：根据筛选结果的列表行导出
● 导出上限：最高支持10万条，否则提示“导出数据超过10万条，暂不支持”
</t>
  </si>
  <si>
    <r>
      <rPr>
        <color indexed="12"/>
        <sz val="11.0"/>
        <rFont val="Calibri"/>
      </rPr>
      <t>小程序-取消订单</t>
    </r>
  </si>
  <si>
    <r>
      <rPr>
        <color indexed="12"/>
        <sz val="11.0"/>
        <rFont val="Calibri"/>
      </rPr>
      <t>2026/04/22 13:51:08 GMT+08:00</t>
    </r>
  </si>
  <si>
    <t xml:space="preserve"> 作为 &lt;用户角色&gt;
 我想要 &lt;结果&gt;
 以便于 &lt;目的&gt; 
</t>
  </si>
  <si>
    <r>
      <rPr>
        <color indexed="12"/>
        <sz val="11.0"/>
        <rFont val="Calibri"/>
      </rPr>
      <t>【原始需求、BUG收集ID：24】更换帖子详情和案例详情页面的分享按钮图标</t>
    </r>
  </si>
  <si>
    <r>
      <rPr>
        <color indexed="12"/>
        <sz val="11.0"/>
        <rFont val="Calibri"/>
      </rPr>
      <t>2026/05/21 15:43:58 GMT+08:00</t>
    </r>
  </si>
  <si>
    <r>
      <rPr>
        <color indexed="12"/>
        <sz val="11.0"/>
        <rFont val="Calibri"/>
      </rPr>
      <t>2026/04/16 18:46:27 GMT+08:00</t>
    </r>
  </si>
  <si>
    <t xml:space="preserve">1、对小程序内各界面（有问必答帖子、案例库、课程等）的分享图标进行统一替换，使用行业更主流、视觉辨识度更高的分享图标，统一视觉规范；
在分享图标旁新增分享次数展示，通过数据直观展示传播热度，刺激用户主动分享，提升页面分享转化率与传播量。（自身按钮分享+微信接口分享）
当前状态
预期效果
</t>
  </si>
  <si>
    <r>
      <rPr>
        <color indexed="12"/>
        <sz val="11.0"/>
        <rFont val="Calibri"/>
      </rPr>
      <t>【原始需求、BUG收集ID：26】管理后台-表格功能优化</t>
    </r>
  </si>
  <si>
    <r>
      <rPr>
        <color indexed="12"/>
        <sz val="11.0"/>
        <rFont val="Calibri"/>
      </rPr>
      <t>2026/05/21 15:43:53 GMT+08:00</t>
    </r>
  </si>
  <si>
    <r>
      <rPr>
        <color indexed="12"/>
        <sz val="11.0"/>
        <rFont val="Calibri"/>
      </rPr>
      <t>2026/04/16 18:43:32 GMT+08:00</t>
    </r>
  </si>
  <si>
    <t xml:space="preserve">1、在管理后台各页面的表格右下角，分页组件处增加显示表格行数
2、涉及页面：管理后台全部页面
3、更新组件：后续管理后台增加标签页涉及到表格时，均采用具备完整功能的分页组件（总数、翻页、跳转、改变每页数量）
</t>
  </si>
  <si>
    <r>
      <rPr>
        <color indexed="12"/>
        <sz val="11.0"/>
        <rFont val="Calibri"/>
      </rPr>
      <t>【原始需求、BUG收集ID：15】修复点赞评论会弹出回复评论界面的bug</t>
    </r>
  </si>
  <si>
    <r>
      <rPr>
        <color indexed="12"/>
        <sz val="11.0"/>
        <rFont val="Calibri"/>
      </rPr>
      <t>2026/04/22 17:56:18 GMT+08:00</t>
    </r>
  </si>
  <si>
    <r>
      <rPr>
        <color indexed="12"/>
        <sz val="11.0"/>
        <rFont val="Calibri"/>
      </rPr>
      <t>孙亭亭</t>
    </r>
  </si>
  <si>
    <r>
      <rPr>
        <color indexed="12"/>
        <sz val="11.0"/>
        <rFont val="Calibri"/>
      </rPr>
      <t>2026/03/30</t>
    </r>
  </si>
  <si>
    <r>
      <rPr>
        <color indexed="12"/>
        <sz val="11.0"/>
        <rFont val="Calibri"/>
      </rPr>
      <t>2026/04/22</t>
    </r>
  </si>
  <si>
    <r>
      <rPr>
        <color indexed="12"/>
        <sz val="11.0"/>
        <rFont val="Calibri"/>
      </rPr>
      <t>2026/04/13 10:03:47 GMT+08:00</t>
    </r>
  </si>
  <si>
    <t xml:space="preserve">修改点赞评论图标大小，点赞评论时不易触发回复
</t>
  </si>
  <si>
    <r>
      <rPr>
        <color indexed="12"/>
        <sz val="11.0"/>
        <rFont val="Calibri"/>
      </rPr>
      <t>小程序-视频帖子优化</t>
    </r>
  </si>
  <si>
    <r>
      <rPr>
        <color indexed="12"/>
        <sz val="11.0"/>
        <rFont val="Calibri"/>
      </rPr>
      <t>2026/05/11 10:45:19 GMT+08:00</t>
    </r>
  </si>
  <si>
    <r>
      <rPr>
        <color indexed="12"/>
        <sz val="11.0"/>
        <rFont val="Calibri"/>
      </rPr>
      <t>2026/04/14</t>
    </r>
  </si>
  <si>
    <r>
      <rPr>
        <color indexed="12"/>
        <sz val="11.0"/>
        <rFont val="Calibri"/>
      </rPr>
      <t>2026/04/30</t>
    </r>
  </si>
  <si>
    <r>
      <rPr>
        <color indexed="12"/>
        <sz val="11.0"/>
        <rFont val="Calibri"/>
      </rPr>
      <t>2026/04/01 18:38:09 GMT+08:00</t>
    </r>
  </si>
  <si>
    <t xml:space="preserve">功能逻辑
1、分享时，缩略图上显示播放图标，缩略图图片采用视频封面
2、详情页查看帖子时不显示黑边，占满屏幕
</t>
  </si>
  <si>
    <r>
      <rPr>
        <color indexed="12"/>
        <sz val="11.0"/>
        <rFont val="Calibri"/>
      </rPr>
      <t>管理后台-课程进度统计优化【原始需求、BUG收集ID：23】</t>
    </r>
  </si>
  <si>
    <r>
      <rPr>
        <color indexed="12"/>
        <sz val="11.0"/>
        <rFont val="Calibri"/>
      </rPr>
      <t>2026/05/11 10:45:14 GMT+08:00</t>
    </r>
  </si>
  <si>
    <r>
      <rPr>
        <color indexed="12"/>
        <sz val="11.0"/>
        <rFont val="Calibri"/>
      </rPr>
      <t>2026/04/01 14:40:48 GMT+08:00</t>
    </r>
  </si>
  <si>
    <t xml:space="preserve">功能逻辑
涉及课程管理、课时管理、用户列表-详情-课程页面
1、课程进度统计小数点：学习进度和课时时长，都统计到整秒，百分比进度 ≥ 95%时，即视为“已完成”，统一显示为 100%
2、去重：同一用户的多次观看时，不显示多条记录，仅显示聚合进度。进度以“最大进度”为准，不可回退，只能增加。课程和课时的学习人数也只统计用户，不重复计算次数
3、课程进度条不可拖动优化：进度条不可往前拖动播放，允许往后回放已播放内容，往前拖动只能达到历史最大进度
</t>
  </si>
  <si>
    <r>
      <rPr>
        <color indexed="12"/>
        <sz val="11.0"/>
        <rFont val="Calibri"/>
      </rPr>
      <t>【原始需求、BUG收集ID：22】小程序-案例库详情页操作优化</t>
    </r>
  </si>
  <si>
    <r>
      <rPr>
        <color indexed="12"/>
        <sz val="11.0"/>
        <rFont val="Calibri"/>
      </rPr>
      <t>2026/05/11 10:45:09 GMT+08:00</t>
    </r>
  </si>
  <si>
    <r>
      <rPr>
        <color indexed="12"/>
        <sz val="11.0"/>
        <rFont val="Calibri"/>
      </rPr>
      <t>2026/04/01 14:15:14 GMT+08:00</t>
    </r>
  </si>
  <si>
    <t xml:space="preserve">UI
链接：https://mastergo.com/file/164826850168556?page_id=1029%3A04172&amp;shareId=164826850168556
原型图
功能描述
备注
1、案例库列表在分类上方展示介绍banner，点击后进入介绍长图详情页
1、首页banner图，为单张图片，点击后跳转到案例库模块介绍长图页面。首页展示效果、交互形式与课程banner保持一致，banner比例也与课程banner图一致
2、banner图、介绍长图由市场部提供
1、案例详情页取消显示底部的复制数图标、评论数图标；在案例库列表页，案例右下角显示由评论图标+评论数改为复制图标+复制数
2、与有问必答帖子类似，点击底部的分享按钮后，唤起转发聊天对话列表，可选择聊天完成转发
3、评论区标题“全部回答”改为“全部评论”
1、 案例详情分享时，缩略图采用案例封面图，标题采用案例名称，标题过长的部分用“…”表示
案例库首页支持分享，缩略图采用首页的介绍图，标题为“仿真案例库上线啦”
1、案例复制完成后，弹出提示复制成功，提示“使用手机号登录智铸超云，即可查看案例详情”
免费和付费案例都提示
</t>
  </si>
  <si>
    <r>
      <rPr>
        <color indexed="12"/>
        <sz val="11.0"/>
        <rFont val="Calibri"/>
      </rPr>
      <t>【原始需求、BUG收集ID：21】课程浏览历史不显示浏览量</t>
    </r>
  </si>
  <si>
    <r>
      <rPr>
        <color indexed="12"/>
        <sz val="11.0"/>
        <rFont val="Calibri"/>
      </rPr>
      <t>2026/05/11 10:45:04 GMT+08:00</t>
    </r>
  </si>
  <si>
    <r>
      <rPr>
        <color indexed="12"/>
        <sz val="11.0"/>
        <rFont val="Calibri"/>
      </rPr>
      <t>2026/03/31 11:43:24 GMT+08:00</t>
    </r>
  </si>
  <si>
    <t xml:space="preserve">浏览历史-在线课程，不显示课程的浏览量
</t>
  </si>
  <si>
    <r>
      <rPr>
        <color indexed="12"/>
        <sz val="11.0"/>
        <rFont val="Calibri"/>
      </rPr>
      <t>小程序-积分签到</t>
    </r>
  </si>
  <si>
    <r>
      <rPr>
        <color indexed="12"/>
        <sz val="11.0"/>
        <rFont val="Calibri"/>
      </rPr>
      <t>2026/05/21 15:44:17 GMT+08:00</t>
    </r>
  </si>
  <si>
    <r>
      <rPr>
        <color indexed="12"/>
        <sz val="11.0"/>
        <rFont val="Calibri"/>
      </rPr>
      <t>2026/03/27 14:51:12 GMT+08:00</t>
    </r>
  </si>
  <si>
    <t xml:space="preserve">
原型图
序号
组件名称
功能描述
备注
1
签到
1、 点击按钮，进入&lt; 签到 &gt;页面（无论是否完成签到，都可点击跳转）
2、 签到完成-文案为“已签到”；未签到-文案为“签到”
3、 签到状态第二日零点更新
未登录用户点击签到后提示请先登录，然后跳转登录页面
原型图
序号
组件名称
功能描述
备注
1
积分商城
1、  点击按钮，进入&lt; 积分商城 &gt;页面
2
签到
1、 点击完成签到，更新文案为“今日已签到”、根据连签天数发放积分、积分获取页面的签到任务更新为已完成状态。当日签到后不可再次点击，第二日零点刷新
2、 连签提示语
● 未签到-“今日还未签到，已连续签到{d}天”
● 已签到-未逢连签日“已连续签到{d}天，今日获得{n}积分，再签到X天额外奖励{p}积分”
● 已签到-逢连签日“已连续签到{d}天，额外奖励{p}积分，今日共获得{n+p}积分”
需统计每日签到人数、连签天数
接入埋点中台
签到完成弹窗文案：
未逢连签日签到文案：今日获得{n}积分,再签到X天额外奖励{p}积分
逢连签日签到文案：已连续签到X天,额外奖励{p}积分，今日共获得{n+p}积分
3
日历视图
1、  时间范围：显示三个月的视图，前一月、当月、下一月。默认显示当月，可点击左右箭头进行切换（前一月视图向左箭头不显示，下一月视图向右箭头不显示）
2、  当日日期不显示，显示为今天，底色高亮。已签到日期显示“ √ ”
3、  签到后注意同时更新日历今天签到状态
每日进入签到页面，未签到前根据已连签天数，在日历视图连签3天、7天、15天、30天的日期显示额外奖励的积分，已签到后，刷新连签天数，在日历视图更新连签3天、7天、15天、30天的日期。（已连签的日期，也显示额外奖励积分）
4
签到规则
1、  签到规则详见积分规则，具体积分值由后台配置
用户每天首次登录小程序后，点击个人中心的“签到”按钮，即可完成当日签到，获得10积分。
用户连续签到天数达到一定标准，可获得额外积分奖励。
连续签到3天：额外奖励30分。
连续签到7天：额外奖励100分。
连续签到15天：额外奖励200分。
连续签到30天：额外奖励500分。
连续签到中断：如果用户中断签到，连续签到天数将重新计算。
签到循环：累计签到30天后，进入下一循环，签到从第1天开始，以此类推。
</t>
  </si>
  <si>
    <r>
      <rPr>
        <color indexed="12"/>
        <sz val="11.0"/>
        <rFont val="Calibri"/>
      </rPr>
      <t>小程序-积分兑换-实物类礼品</t>
    </r>
  </si>
  <si>
    <r>
      <rPr>
        <color indexed="12"/>
        <sz val="11.0"/>
        <rFont val="Calibri"/>
      </rPr>
      <t>2026/05/11 10:44:59 GMT+08:00</t>
    </r>
  </si>
  <si>
    <r>
      <rPr>
        <color indexed="12"/>
        <sz val="11.0"/>
        <rFont val="Calibri"/>
      </rPr>
      <t>高</t>
    </r>
  </si>
  <si>
    <r>
      <rPr>
        <color indexed="12"/>
        <sz val="11.0"/>
        <rFont val="Calibri"/>
      </rPr>
      <t>2026/03/26 11:21:59 GMT+08:00</t>
    </r>
  </si>
  <si>
    <t xml:space="preserve">UI
链接：https://mastergo.com/file/164826850168556?page_id=1055%3A06338&amp;shareId=164826850168556
实物兑换页面
原型图
序号
组件名称
功能描述
备注
1
收货地址
1、初始为空，文案为“暂无收货地址，去添加”，点击后跳转&lt; 新增地址 &gt;页面
2、已存在地址时，采用默认地址，点击后进入 &lt; 地址管理 &gt;页面，可进行地址切换
收货地址不存在时，无法完成兑换
2
兑换礼品信息
1、 包含图片、名称、数量、积分
2、点击卡片，回到&lt; 礼品详情 &gt;页面
3
底部栏
1、积分消耗信息：“共计消耗：{x}积分”
2、确认兑换按钮：点击完成兑换，进入&lt; 兑换成功-实物礼品 &gt;页面
新增地址页面
原型图
序号
组件名称
功能描述
备注
1
地址信息
1、字段包含收货人、手机号码、所在地区、详细地址，均为必填。收货人不超过30字符，手机号码校验11位数字，所在地区调用省市区选择器，详细地址5-100字符。收货人和详细地址不允许输入特殊符号或表情
2、校验提示语：收货人——"不超过30字符"；手机号错误——"请输入11位有效手机号"；所在地区——"请选择完整地区"；详细地址："地址输入要求5-100字符"
2、设为默认地址：默认为关闭状态
已有地址数量为0时，设为默认地址字段不显示。创建后的地址即为默认地址
2
保存并使用
1、信息校验通过后，方可完成地址创建，否则需按校验提示语提示修改。点击按钮保存地址，并使用该地址信息回到&lt; 提交兑换 &gt;页面
地址管理页面
原型图
序号
组件名称
功能描述
备注
1
地址列表
1、列表排序：默认地址置顶，其余地址按创建时间倒序排列
2、选择地址：选中地址卡片后，使用选中的地址信息直接回到&lt; 提交兑换 &gt;页面
3、默认地址：最多一个，默认地址卡片不显示“设为默认”开关，文案为“已设为默认”。开启非默认地址的“设为默认”开关，更新其为默认地址，原默认地址更新为非默认地址，实时更新列表排序
4、编辑：点击，打开编辑的半屏弹窗。校验规则同新增地址，信息校验通过后，方可点击确定按钮，保存修改回到地址管理主页面。取消按钮和关闭按钮，不保存修改回到地址管理主页面
5、删除：点击弹出提示“是否确认删除该地址”【确定/取消】，二次确认后删除。若删除的是默认地址，有剩余地址则其中创建时间最新的为默认地址，无剩余地址即列表为空
编辑弹窗的设为默认地址字段仅当非默认地址时显示
2
新增地址
1、点击后，跳转到&lt;新增地址 &gt;页面
2、最多5个收货地址，超出则点击后提示"地址数量已达上限"
兑换成功-实物类页面
原型图
序号
组件名称
功能描述
备注
1
结果显示
1、 兑换成功，提示语显示“消耗{x}积分，剩余{y}积分”。
2、提示语：提交成功，我们将尽快安排发货
2
地址信息
1、显示订单的地址相关信息
3
跳转按钮
1、查看兑换记录：点击跳转&lt; 兑换详情 &gt;页面（兑换详情页面下次迭代开发）
2、返回商城首页：点击跳转&lt; 积分商城 &gt;页面
此页面的左上角返回按钮，点击后直接回到&lt; 积分商城 &gt;页面，再点击&lt; 积分商城 &gt;页面的左上角返回按钮，直接回到&lt; 我的 &gt;页面
</t>
  </si>
  <si>
    <r>
      <rPr>
        <color indexed="12"/>
        <sz val="11.0"/>
        <rFont val="Calibri"/>
      </rPr>
      <t>【原始需求、BUG收集ID：16】修复ios帖子编辑时，由标题切换到正文，对齐过程卡顿的bug</t>
    </r>
  </si>
  <si>
    <r>
      <rPr>
        <color indexed="12"/>
        <sz val="11.0"/>
        <rFont val="Calibri"/>
      </rPr>
      <t>2026/04/09 11:51:48 GMT+08:00</t>
    </r>
  </si>
  <si>
    <r>
      <rPr>
        <color indexed="12"/>
        <sz val="11.0"/>
        <rFont val="Calibri"/>
      </rPr>
      <t>2026/04/20</t>
    </r>
  </si>
  <si>
    <r>
      <rPr>
        <color indexed="12"/>
        <sz val="11.0"/>
        <rFont val="Calibri"/>
      </rPr>
      <t>2026/03/25 17:49:44 GMT+08:00</t>
    </r>
  </si>
  <si>
    <t xml:space="preserve">bug录屏：https://drive.weixin.qq.com/s?k=AIsApgeaAAkp7AZUeFAJYA9gZnAHU
</t>
  </si>
  <si>
    <r>
      <rPr>
        <color indexed="12"/>
        <sz val="11.0"/>
        <rFont val="Calibri"/>
      </rPr>
      <t>【原始需求、BUG收集ID：19】帖子删除逻辑优化</t>
    </r>
  </si>
  <si>
    <r>
      <rPr>
        <color indexed="12"/>
        <sz val="11.0"/>
        <rFont val="Calibri"/>
      </rPr>
      <t>2026/04/22 17:56:12 GMT+08:00</t>
    </r>
  </si>
  <si>
    <r>
      <rPr>
        <color indexed="12"/>
        <sz val="11.0"/>
        <rFont val="Calibri"/>
      </rPr>
      <t>2026/03/25 17:39:20 GMT+08:00</t>
    </r>
  </si>
  <si>
    <t xml:space="preserve">帖子删除后，有问必答首页的列表即时删除帖子
</t>
  </si>
  <si>
    <r>
      <rPr>
        <color indexed="12"/>
        <sz val="11.0"/>
        <rFont val="Calibri"/>
      </rPr>
      <t>【原始需求、BUG收集ID：18】修复后台课程视频预览失败的bug</t>
    </r>
  </si>
  <si>
    <r>
      <rPr>
        <color indexed="12"/>
        <sz val="11.0"/>
        <rFont val="Calibri"/>
      </rPr>
      <t>2026/04/22 18:47:02 GMT+08:00</t>
    </r>
  </si>
  <si>
    <r>
      <rPr>
        <color indexed="12"/>
        <sz val="11.0"/>
        <rFont val="Calibri"/>
      </rPr>
      <t>2026/03/25 16:28:02 GMT+08:00</t>
    </r>
  </si>
  <si>
    <t xml:space="preserve">
</t>
  </si>
  <si>
    <r>
      <rPr>
        <color indexed="12"/>
        <sz val="11.0"/>
        <rFont val="Calibri"/>
      </rPr>
      <t>小程序-积分交互</t>
    </r>
  </si>
  <si>
    <r>
      <rPr>
        <color indexed="12"/>
        <sz val="11.0"/>
        <rFont val="Calibri"/>
      </rPr>
      <t>2026/04/22 18:47:08 GMT+08:00</t>
    </r>
  </si>
  <si>
    <r>
      <rPr>
        <color indexed="12"/>
        <sz val="11.0"/>
        <rFont val="Calibri"/>
      </rPr>
      <t>2026/03/25 16:19:46 GMT+08:00</t>
    </r>
  </si>
  <si>
    <t xml:space="preserve">1、个人中心的签到、我的积分不显示
2、积分商城首页的积分获取、积分明细、兑换记录、积分规则点击不跳转，提示“积分功能即将上线，敬请期待”
积分商城首页的积分获取、积分明细、兑换记录、积分规则、我的积分都不展示，仅展示礼品相关部分
3、积分商城礼品和礼品详情页的“立即兑换”按钮，文案均展示为“敬请期待”，不可点击
4、积分商城首页的“我的积分”、礼品详情页的“可用积分”均不显示
5、付费案例详情页“复制案例”按钮隐藏，隐藏我的积分，仅可查看案例信息
</t>
  </si>
  <si>
    <r>
      <rPr>
        <color indexed="12"/>
        <sz val="11.0"/>
        <rFont val="Calibri"/>
      </rPr>
      <t>【原始需求、BUG收集ID：6】修复后台-用户列表、推荐关注列表数据缺失的bug</t>
    </r>
  </si>
  <si>
    <r>
      <rPr>
        <color indexed="12"/>
        <sz val="11.0"/>
        <rFont val="Calibri"/>
      </rPr>
      <t>2026/04/22 17:55:49 GMT+08:00</t>
    </r>
  </si>
  <si>
    <r>
      <rPr>
        <color indexed="12"/>
        <sz val="11.0"/>
        <rFont val="Calibri"/>
      </rPr>
      <t>2026/03/25 15:43:15 GMT+08:00</t>
    </r>
  </si>
  <si>
    <t xml:space="preserve">1、管理后台-推荐关注管理：列表粉丝数数据缺失
2、管理后台-用户列表：头像和位置信息缺失
</t>
  </si>
  <si>
    <r>
      <rPr>
        <color indexed="12"/>
        <sz val="11.0"/>
        <rFont val="Calibri"/>
      </rPr>
      <t>【原始需求、BUG收集ID：14】小程序-课程详情页优化</t>
    </r>
  </si>
  <si>
    <r>
      <rPr>
        <color indexed="12"/>
        <sz val="11.0"/>
        <rFont val="Calibri"/>
      </rPr>
      <t>2026/04/22 17:55:54 GMT+08:00</t>
    </r>
  </si>
  <si>
    <r>
      <rPr>
        <color indexed="12"/>
        <sz val="11.0"/>
        <rFont val="Calibri"/>
      </rPr>
      <t>2026/03/23 18:56:59 GMT+08:00</t>
    </r>
  </si>
  <si>
    <t xml:space="preserve">1、管理后台的课程下的课时数为0时，小程序端不显示该课程
2、未购买用户：点击课时不改变封面图和标题，始终显示课程名称
3、已购买用户-未开始学习：点击课程进入学习页，默认为课程介绍，展示课程标题和第一课时的封面和视频
4、已购买用户-已开始学习：点击课程进入学习页，默认为课程目录，展示上次观看的课时名称、课程标签、课时封面和视频
</t>
  </si>
  <si>
    <r>
      <rPr>
        <color indexed="12"/>
        <sz val="11.0"/>
        <rFont val="Calibri"/>
      </rPr>
      <t>小程序-积分兑换-虚拟类礼品</t>
    </r>
  </si>
  <si>
    <r>
      <rPr>
        <color indexed="12"/>
        <sz val="11.0"/>
        <rFont val="Calibri"/>
      </rPr>
      <t>2026/05/11 10:44:51 GMT+08:00</t>
    </r>
  </si>
  <si>
    <r>
      <rPr>
        <color indexed="12"/>
        <sz val="11.0"/>
        <rFont val="Calibri"/>
      </rPr>
      <t>2026/03/23 15:14:46 GMT+08:00</t>
    </r>
  </si>
  <si>
    <t xml:space="preserve">UI
链接：https://mastergo.com/file/164826850168556?page_id=1055%3A06338&amp;shareId=164826850168556
兑换成功页面
原型图
序号
组件名称
功能描述
备注
1
结果显示
1、 兑换成功，提示语显示“消耗{x}积分，剩余{y}积分”。
虚拟课程类-“您的课程已发放到我的-课程，快去看看吧”；（兑换成功需同步一条购买记录）
其他虚拟类-显示兑换码，点击复制按钮可以复制兑换码，提示“复制成功”。。“兑换码有效期至XXXX年XX月XX日，请尽快添加客服，核销兑换码完成兑换”
客服二维码同训练营，可直接长按识别二维码
兑换码：260101+6位随机数字
2
跳转按钮
1、查看兑换记录：点击跳转&lt; 兑换详情 &gt;页面（兑换详情页面下次迭代开发）
2、返回商城首页：点击跳转&lt; 积分商城 &gt;页面
3、查看兑换课程：点击跳转&lt; 课程详情 &gt;页面
此页面的左上角返回按钮，点击后直接回到&lt; 积分商城 &gt;页面，再点击&lt; 积分商城 &gt;页面的左上角返回按钮，直接回到&lt; 我的 &gt;页面
查看兑换课程按钮仅当礼品为虚拟课程类礼品显示
</t>
  </si>
  <si>
    <r>
      <rPr>
        <color indexed="12"/>
        <sz val="11.0"/>
        <rFont val="Calibri"/>
      </rPr>
      <t>小程序-积分兑换记录和兑换详情</t>
    </r>
  </si>
  <si>
    <r>
      <rPr>
        <color indexed="12"/>
        <sz val="11.0"/>
        <rFont val="Calibri"/>
      </rPr>
      <t>2026/05/21 15:43:45 GMT+08:00</t>
    </r>
  </si>
  <si>
    <r>
      <rPr>
        <color indexed="12"/>
        <sz val="11.0"/>
        <rFont val="Calibri"/>
      </rPr>
      <t>2026/03/20 18:55:05 GMT+08:00</t>
    </r>
  </si>
  <si>
    <t xml:space="preserve">UI链接：https://mastergo.com/file/164826850168556?page_id=1211%3A09249&amp;shareId=164826850168556
原型图
序号
组件名称
功能描述
备注
1
筛选栏
1、 包含全部（默认）、待兑换、待使用、待发货、已完成、已取消、已过期，仅支持单选
2
兑换列表
1、  卡片信息：订单号、订单状态、礼品图片、礼品名称、兑换时间、订单消耗的积分
2、  列表排序：时间倒序排列
3、  点击订单卡片，跳转&lt; 兑换详情 &gt;页面
卡片信息为提交时的内容快照
原型图
序号
组件名称
功能描述
备注
实物类
其他虚拟类
虚拟课程类
1
使用信息
1、 实物类：显示物流信息，(关联后台的订单状态，状态分为“待发货”、“已完成”、“已取消”），点击物流单号旁复制按钮完成复制，提示“复制成功”。
2、 其他虚拟类：显示使用状态(关联后台的订单状态，状态分为“待使用”、“已过期”、“已完成”、“已取消”）、兑换码和有效期（文案为“有效期至XXXX年XX月XX日”，点击兑换码旁复制按钮完成复制，提示“复制成功”。
● 状态为已取消时，不显示兑换码和有效期，原生成的兑换码记为失效
3、 虚拟课程类：显示已完成，点击开始学习跳转&lt; 课程详情 &gt;页面
兑换码：规则“有效期+六位随机码”，260101AAAAAA
兑换码要求唯一、防泄露，确定使用后失效
2
收货信息
1、显示兑换订单的收货信息
仅实物类显示
3
兑换礼品
1、显示兑换的礼品信息，点击后跳转&lt; 礼品详情 &gt;页
● 如礼品已下架或删除，点击后提示“礼品暂时下架，不存在”，不跳转页面&lt; 礼品详情 &gt;页
2、如礼品为虚拟课程类，点击后跳转到&lt; 礼品详情 &gt;页面，立即兑换按钮文案改为“已拥有”，按钮不可点击
兑换的礼品信息为提交时的内容快照
4
订单信息
1、  订单编号：规则“时间+六位随机数字”
2、  显示订单的兑换时间
260101080000111111
时间精确到秒，订单号唯一，随机数字防泄露每日订单总量
</t>
  </si>
  <si>
    <r>
      <rPr>
        <color indexed="12"/>
        <sz val="11.0"/>
        <rFont val="Calibri"/>
      </rPr>
      <t>小程序-积分礼品详情</t>
    </r>
  </si>
  <si>
    <r>
      <rPr>
        <color indexed="12"/>
        <sz val="11.0"/>
        <rFont val="Calibri"/>
      </rPr>
      <t>2026/04/22 17:55:35 GMT+08:00</t>
    </r>
  </si>
  <si>
    <r>
      <rPr>
        <color indexed="12"/>
        <sz val="11.0"/>
        <rFont val="Calibri"/>
      </rPr>
      <t>2026/03/20 18:51:28 GMT+08:00</t>
    </r>
  </si>
  <si>
    <t xml:space="preserve">
原型图
序号
组件名称
功能描述
备注
1
图片
1、  由后台配置，右小角显示分页
2
礼品信息
1、  由后台配置，名称、积分
3
礼品详情
1、 由后台配置
2、虚拟类礼品包含兑换规则和有效期，由后台配置
4
底部栏
1、 商城首页按钮：点击回到&lt; 积分商城 &gt;页面
2、 可用积分：显示用户积分
3、 立即兑换按钮：
● 虚拟课程类礼品：弹出“是否确认兑换该礼品”【确定/取消】，二次确认后即完成兑换，礼品发放到账号内。跳转到&lt; 兑换成功-虚拟课程 &gt;页面
● 其他虚拟类礼品：弹出“是否确认兑换该礼品”【确定/取消】，二次确认后即完成兑换，跳转到&lt; 兑换成功-其他虚拟 &gt;页面
● 实物礼品：点击跳转&lt; 提交兑换 &gt;页面（本次迭代暂不上线）
积分不足时，立即兑换按钮文案为“积分不足”，不可点击
</t>
  </si>
  <si>
    <r>
      <rPr>
        <color indexed="12"/>
        <sz val="11.0"/>
        <rFont val="Calibri"/>
      </rPr>
      <t>管理后台-积分管理-积分规则管理</t>
    </r>
  </si>
  <si>
    <r>
      <rPr>
        <color indexed="12"/>
        <sz val="11.0"/>
        <rFont val="Calibri"/>
      </rPr>
      <t>2026/05/21 15:43:40 GMT+08:00</t>
    </r>
  </si>
  <si>
    <r>
      <rPr>
        <color indexed="12"/>
        <sz val="11.0"/>
        <rFont val="Calibri"/>
      </rPr>
      <t>2026/03/20 18:32:52 GMT+08:00</t>
    </r>
  </si>
  <si>
    <t xml:space="preserve">
原型图
序号
组件名称
功能描述
备注
1
规则列表
1、 入口：积分管理-积分规则管理，左上角为“积分任务”和“总体规则”的按钮组，默认进入的积分任务
2、列表项：规则名称、分类、可见性、积分、次数、每日积分上限、状态、是否计入每日总上限、操作列
3、规则名称：包含日常签到、连续签到3天（7天、15天、30天）、浏览帖子、评论帖子、发布帖子、完善资料、粉丝数20（50、100、200）、分享到聊天、分享到朋友圈、帖子被精选、帖子获赞
4、分类：包含每日和一次性，除了完善资料、粉丝数20（50、100、200）为一次性，其余规则均为每日类型
5、可见性：包含小程序和后台，主要用于区分规则是否出现小程序&lt; 积分获取 &gt;页面下。日常签到、连续签到3天（7天、15天、30天）、浏览帖子、评论帖子、发布帖子、完善资料、分享到聊天、分享到朋友圈的可见性为小程序，粉丝数20（50、100、200）、帖子被精选、帖子获赞的可见性为后台
6、积分、次数、每日积分上限：积分和次数为正整数，每日积分上限=积分×次数。分类为一次性时，次数、每日积分上限置为空
7、状态：包含正常和禁用
8、是否计入每日总上限：包含是和否，帖子被精选、粉丝数20（50、100、200）、日常签到、连续签到3天（7天、15天、30天）的该属性值为否，其余为是
4、筛选：可根据分类、可见性、状态和是否计入每日总上限进行筛选
完善资料和粉丝数达标，在积分上线时，已达成会自动发放积分，粉丝达标只按照达标的最高档发放。（比如积分上线，粉丝数为80，按50这一档发放积分，20这一档积分奖励不发放，上线后达成100粉丝会继续发放奖励）
2
操作
1、操作-编辑：点击按钮，打开编辑对话框。显示规则名称、分类、积分、次数、每日积分上限、是否计入每日总上限。分类为每日时，其中积分、每日次数、是否计入每日总上限可编辑；分类为一次性时，积分、是否计入每日总上限可编辑，每日次数和每日积分上限置空不可编辑。编辑二次确认后，更新小程序端&lt; 积分获取 &gt;页面的积分值、每日次数、积分上限等信息，更新规则给积分中台
2、操作-禁用/启用：更新规则给积分中台，可见性为小程序时，点击后需更新小程序端&lt; 积分获取 &gt;页面任务的显示状态
原型图
序号
组件名称
功能描述
备注
1
规则列表
1、 入口：积分管理-积分规则管理，左上角为“积分任务”和“总体规则”的按钮组，点击总体规则进入
2、每日积分总上限：包含开关按钮和积分值，开关开启时，允许编辑积分值，正整数；开关关闭不允许编辑积分值
3、编辑：点击编辑按钮后，按钮处切换成“取消”和“保存”两个按钮，编辑后点击确定即保存，取消即不保存，按钮处切换为原一个按钮“编辑”状态
</t>
  </si>
  <si>
    <r>
      <rPr>
        <color indexed="12"/>
        <sz val="11.0"/>
        <rFont val="Calibri"/>
      </rPr>
      <t>小程序-积分获取</t>
    </r>
  </si>
  <si>
    <r>
      <rPr>
        <color indexed="12"/>
        <sz val="11.0"/>
        <rFont val="Calibri"/>
      </rPr>
      <t>2026/05/21 15:43:36 GMT+08:00</t>
    </r>
  </si>
  <si>
    <r>
      <rPr>
        <color indexed="12"/>
        <sz val="11.0"/>
        <rFont val="Calibri"/>
      </rPr>
      <t>2026/03/20 17:25:57 GMT+08:00</t>
    </r>
  </si>
  <si>
    <t xml:space="preserve">UI链接：https://mastergo.com/file/164826850168556?page_id=1211%3A09249&amp;shareId=164826850168556
积分获取页面
原型图
序号
组件名称
功能描述
备注
1
积分
1、  显示用户的积分
2
积分明细
1、  点击按钮，进入&lt; 积分明细 &gt;页面
3
每日任务
1、 任务由后台配置
2、 任务完成状态
● 任务已完成-文案为“已完成”，按钮不可点击
● 任务未完成-文案为“去完成”
○ 签到任务点击跳转&lt; 签到 &gt;页面
○ 浏览帖子任务点击跳转&lt; 有问必答首页 &gt;页面
○ 发布帖子任务点击跳转&lt; 创建帖子 &gt;页面
○ 评论帖子任务点击跳转&lt; 有问必答首页 &gt;页面
○ 分享到聊天任务点击跳转&lt; 有问必答首页 &gt;页面
○ 分享到朋友圈任务点击跳转&lt; 有问必答首页 &gt;页面
3、完成标准
○ 签到：完成当日签到
○ 浏览帖子：进入帖子详情页，浏览同一帖子多次只计一次
○ 发布帖子：成功发布一个帖子
○ 评论帖子：在任意帖子下评论，合规评论且字数不少于8字，一级和二级评论都可以
○ 分享到聊天/分享到朋友圈：分享完成动作
4、计算规则：每日零点刷新。在进入积分获取页面前完成了的任务，也算次数和积分，注意更新任务完成状态
5、当日超过获取积分上限，按钮文案为“已达上限”，点击打开提示弹窗，“感谢您活跃支持，今日积分获取已达上限，明日再来获取积分吧！”，在弹窗内可点击“去积分商城兑换”，跳转到积分商城首页
任务提示语
1、签到：+10积分，连续签到最高可额外获得500积分
2、浏览帖子(0/20)：+10积分/篇，每日最多获得200积分
3、发布帖子(0/3)：+100积分/篇，每日最多获得300积分
4、评论帖子(0/5)：+20积分/次，每日最多获得100积分
5、分享到聊天：分享小程序内任意页面给朋友，+80积分
6、分享到朋友圈：分享小程序内任意页面到朋友圈，+80积分
4
基础任务
1、 任务由后台配置
2、 任务完成状态
● 任务已完成-文案为“已完成”，按钮不可点击
● 任务未完成-文案为“去完成”
○ 首次完善个人资料任务点击跳转&lt; 编辑资料 &gt;页面
3、完成标准：完整包含头像、昵称、性别、地区、职业、个人简介
任务提示语
1、完善资料：+50积分
1、积分上线前已完善资料的用户，自动发放积分，按钮为已完成不可点击
</t>
  </si>
  <si>
    <r>
      <rPr>
        <color indexed="12"/>
        <sz val="11.0"/>
        <rFont val="Calibri"/>
      </rPr>
      <t>管理后台-案例库管理-付费案例管理</t>
    </r>
  </si>
  <si>
    <r>
      <rPr>
        <color indexed="12"/>
        <sz val="11.0"/>
        <rFont val="Calibri"/>
      </rPr>
      <t>2026/04/22 17:56:58 GMT+08:00</t>
    </r>
  </si>
  <si>
    <r>
      <rPr>
        <color indexed="12"/>
        <sz val="11.0"/>
        <rFont val="Calibri"/>
      </rPr>
      <t>2026/03/19 17:24:24 GMT+08:00</t>
    </r>
  </si>
  <si>
    <t xml:space="preserve">
原型图
序号
组件名称
功能描述
备注
1
列表
1、  案例库管理-“免费案例管理”文案改为“案例管理”
2、 列表项：基础上增加“积分”列，增加案例类型“有偿复制”，当案例类型不是有偿复制时，积分值默认为0
1、点赞数、评论数、收藏数、积分这几列，支持排序
2、筛选查询支持案例类型字段
2
详情
1、  点击操作-详情按钮，在案例标题下增加显示案例标签、案例简介字段信息
</t>
  </si>
  <si>
    <r>
      <rPr>
        <color indexed="12"/>
        <sz val="11.0"/>
        <rFont val="Calibri"/>
      </rPr>
      <t>小程序-付费案例</t>
    </r>
  </si>
  <si>
    <r>
      <rPr>
        <color indexed="12"/>
        <sz val="11.0"/>
        <rFont val="Calibri"/>
      </rPr>
      <t>2026/04/22 18:46:18 GMT+08:00</t>
    </r>
  </si>
  <si>
    <r>
      <rPr>
        <color indexed="12"/>
        <sz val="11.0"/>
        <rFont val="Calibri"/>
      </rPr>
      <t>2026/03/12 17:12:44 GMT+08:00</t>
    </r>
  </si>
  <si>
    <t xml:space="preserve">案例库首页
原型图
序号
组件名称
功能描述
备注
1
分类和排序
1、  在案例库首页的搜索和排序栏中间增加分类，包含全部（默认）、积分兑换、免费案例。积分兑换类别对应超云的有偿分享，免费案例对应超云的无偿分享和仅公开浏览
2、  标签栏：左侧为“案例标签”提示语（冻结显示），右侧为案例库标签，点击一次为选中态（红色高亮），再一次点击为未选中态（白底），可以多选，“全部”任何时候点击都是选中态
● 默认初始状态或没有标签被选中时，“全部”为选中态
● 有任意具体标签选中时，“全部”为未选中态
● 只要点击“全部”，清空所有具体标签的选中状态
3、  排序栏：左侧增加”排序“提示语
案例标签行默认为折叠状态。当展开的标签有任一标签为选中态时，保持展开；当所有展开的标签均为未选中态时，自动折叠
案例标签项：汽车、电子与通信、航空航天、轨道交通、家电、工业机械制造、能源储能行业、医疗器械、建筑、铝合金、镁合金、锌合金、铜合金、钛合金、铸铁、铸钢
案例选中多个标签进行筛选时，只要案例包含了所选中筛选的任意一个标签，即符合筛选条件
2
积分值
1、  在案例卡片中增加积分值信息，免费案例显示“免费”，收费案例显示积分值（由超云传入）
案例库详情页
原型图
序号
组件名称
功能描述
备注
1
兑换和提示
1、  复制案例按钮：
● 未登录用户：点击后提示请先登录，跳转到登录页面
● 已登录-积分满足：点击后弹出提示“确认复制案例?
花费积分:{n} 兑换成功后,不支持撤回兑换，可使用手机号登录智铸超云查看详情”【确定/取消】，二次确认后，将用户信息传给超云，在其账号下复制案例，扣除积分，确认复制案例完成后， 按钮文案改为“已复制”，不可再次点击 
● 已登录-积分不足：点击后弹出提示"积分不足，先去获取积分吧”，点击”做任务、赚积分”按钮，跳转&lt; 积分获取 &gt;页面
2、 解释按钮：点击？图标，弹出兑换提示语“复制此案例需消耗您的积分。确认兑换后，不支持撤回兑换，您可登录智铸超云查看案例详情。”，再次点击空白处恢复
本人查看自己分享的有偿案例详情页，复制案例按钮文案为“取消公开”，点击后弹出提示“是否确认取消案例”【确定/取消】，二次确认后该案例取消分享，记录取消公开时间，传数据给超云
1、本人查看自己分享的详情页，“取消公开”按钮删除，小程序仅支持查看复制，取消在超云内完成
免费案例复制后，复制按钮由不显示也同步改为“已复制”不可点击
2
案例积分
1、  积分：左侧显示案例兑换所需积分值（由超云传入），右侧显示个人积分
未登录用户不显示右侧个人积分
3
案例基本信息
1、  在原案例基本信息下，补充显示“案例简介”（超云分享时为非必填项，如内容为空，不显示该字段）和“案例标签”字段（超云分享时为可多选的必填项）
2、  免费和收费案例都需要补充此信息
对于无标签和简介信息的旧数据，在详情页不展示；首页标签筛选时，选中”全部“时，正常展示旧数据
</t>
  </si>
  <si>
    <r>
      <rPr>
        <color indexed="12"/>
        <sz val="11.0"/>
        <rFont val="Calibri"/>
      </rPr>
      <t>小程序-积分明细</t>
    </r>
  </si>
  <si>
    <r>
      <rPr>
        <color indexed="12"/>
        <sz val="11.0"/>
        <rFont val="Calibri"/>
      </rPr>
      <t>2026/05/21 15:43:30 GMT+08:00</t>
    </r>
  </si>
  <si>
    <r>
      <rPr>
        <color indexed="12"/>
        <sz val="11.0"/>
        <rFont val="Calibri"/>
      </rPr>
      <t>2026/03/12 17:11:40 GMT+08:00</t>
    </r>
  </si>
  <si>
    <t xml:space="preserve">UI链接：https://mastergo.com/file/164826850168556?page_id=1211%3A09249&amp;shareId=164826850168556
积分明细页面
原型图
序号
组件名称
功能描述
备注
1
我的积分
1、 我的积分：显示用户的积分
2、 积分规则：点击后，弹出&lt; 积分规则 &gt;弹窗
积分规则确定终稿由市场部提供
2
积分明细
1、 筛选：包含全部（默认）、已获得、已消耗
2、 明细内容：包含途径、时间、板块、积分值
3、排序：按时间倒序排列
积分明细需要接入中台，包含其他如超云板块的明细内容
</t>
  </si>
  <si>
    <r>
      <rPr>
        <color indexed="12"/>
        <sz val="11.0"/>
        <rFont val="Calibri"/>
      </rPr>
      <t>小程序-积分商城首页</t>
    </r>
  </si>
  <si>
    <r>
      <rPr>
        <color indexed="12"/>
        <sz val="11.0"/>
        <rFont val="Calibri"/>
      </rPr>
      <t>2026/04/22 17:57:15 GMT+08:00</t>
    </r>
  </si>
  <si>
    <r>
      <rPr>
        <color indexed="12"/>
        <sz val="11.0"/>
        <rFont val="Calibri"/>
      </rPr>
      <t>2026/03/12 17:11:06 GMT+08:00</t>
    </r>
  </si>
  <si>
    <t xml:space="preserve">
原型图
序号
组件名称
功能描述
备注
1
签到
（本次迭代暂不上线）
1、 点击按钮，进入&lt; 签到 &gt;页面（无论是否完成签到，都可点击跳转）
2、 签到完成-文案为“已签到”；未签到-文案为“签到”
3、 签到状态第二日零点更新
未登录用户点击签到后提示请先登录，然后跳转登录页面
2
功能中心
1、  点击我的积分按钮，进入&lt; 积分获取 &gt;页面
2、  点击积分商城按钮，进入&lt; 积分商城 &gt;页面
购买记录和浏览历史图标不显示数字
未登录用户不显示我的积分，仅显示积分商城，点击积分商城后提示请先登录，然后跳转登录页面
原型图
序号
组件名称
功能描述
备注
1
积分中心
1、  点击右上角积分规则，跳转&lt; 积分规则 &gt;页面
2、  我的积分：显示用户的积分
3、  积分功能：包含积分获取、积分明细、兑换记录。点击后跳转对应页面
2
积分列表
1、 列表分类项由后台配置，示例：全部（默认）、实物商品、虚拟课程、模流分析服务、模具设计服务
2、 列表排序：按积分由低到高排序
3、 礼品项包含图片、名称、所需积分、兑换按钮，礼品信息由后台配置
4、 兑换按钮：
● 达兑换上限时，文案为“库存不足，敬请期待”，按钮不可点击
● 用户积分 ≥ 礼品所需积分时，文案为“立即兑换”
 ○ 虚拟课程类礼品：弹出“是否确认兑换该礼品”【确定/取消】，二次确认后即完成兑换，礼品发放到账号内。跳转到&lt; 兑换成功-虚拟课程 &gt;页面。（如用户已用现金购买/已兑换课程礼品，首页下该礼品兑换按钮和详情页兑换按钮文案为“已拥有"，不可点击兑换）
○ 其他虚拟类礼品：弹出“是否确认兑换该礼品”【确定/取消】，二次确认后即完成兑换，跳转到&lt; 兑换成功-其他虚拟 &gt;页面。
○ 实物类礼品：跳转&lt; 提交兑换 &gt;页
兑换完成的跳转页面下次迭代完成
● 用户积分 &lt; 礼品所需积分时，文案为“积分不足”，按钮不可点击
5、礼品卡片：点击卡片图，进入&lt; 礼品详情 &gt;页面
积分不足时，点击图片可以进入礼品详情页，礼品详情页的兑换按钮文案为“积分不足”，按钮不可点击
图片比例
</t>
  </si>
  <si>
    <r>
      <rPr>
        <color indexed="12"/>
        <sz val="11.0"/>
        <rFont val="Calibri"/>
      </rPr>
      <t>管理后台-积分管理-订单管理</t>
    </r>
  </si>
  <si>
    <r>
      <rPr>
        <color indexed="12"/>
        <sz val="11.0"/>
        <rFont val="Calibri"/>
      </rPr>
      <t>2026/05/11 10:44:42 GMT+08:00</t>
    </r>
  </si>
  <si>
    <r>
      <rPr>
        <color indexed="12"/>
        <sz val="11.0"/>
        <rFont val="Calibri"/>
      </rPr>
      <t>2026/03/12 17:05:02 GMT+08:00</t>
    </r>
  </si>
  <si>
    <t xml:space="preserve">订单管理
原型图
序号
组件名称
功能描述
备注
1
列表
1、入口：积分管理-订单管理页面
2、列表项：序号、订单ID（基于订单创建时间排列从1开始生成的序号）、订单号、用户名称、礼品名称、分类、积分、提交时间、状态、备注、操作列
3、列表筛选：可按订单号、用户名称、礼品名称、分类、提交时间、状态查询
4、列表排序：支持积分排序，默认或兜底排序按订单提交时间倒序排列
5、状态-实物类：包含待发货、已完成、已取消
6、状态-虚拟类：包含待兑换、待使用、已完成、已取消、已过期
7、操作-详情：点击按钮，打开详情框
8、操作-发货：仅当实物类且状态为待发货时显示，点击后打开发货对话框，收货人、收货人联系方式、收货地址只读；物流单号必填，自动去除首尾及中间空格，支持数字和字母，长度5-30字符；物流公司为下拉框，可选项为顺丰速运、EMS、中国邮政、中通快递、韵达快递、圆通速递、申通快递、京东物流、极兔速递。点击确定后，完成发货，订单状态更新为已完成
9、操作-兑换：仅当非课程的虚拟类时且状态为待使用时显示，点击打开弹窗，弹窗显示只读的兑换码和有效期，备注栏非必填，不超过50字符，确定后，订单状态更新为已完成，兑换码立即失效
10、操作-取消订单：仅当状态为待使用或待发货时显示，点击后打开取消订单对话框，备注栏非必填，不超过50字符，确定后取消订单，退回积分、虚拟类兑换码失效、实物类取消发货，订单状态更新为已取消
虚拟课程类别，提交兑换，即记为状态已完成
收货地址对应小程序填写的所在地区+详细地址
非课程的虚拟类兑换码在三个月有效期过后，自动更新状态为已过期，兑换码失效，操作栏的兑换按钮隐藏
订单状态更新：
后台状态栏、小程序端的兑换记录、兑换详情
2
详情
1、 虚拟类详情：只读，包含序号、订单ID、订单号、用户名称、礼品名称、分类、积分、提交时间、状态、备注、兑换码和后台操作时间，其中后台操作时间为点击兑换或取消订单的时间，如礼品分类为虚拟课程时，后台操作时间为订单提交时间，兑换码为空
2、实物类详情：只读，包含序号、订单ID、订单号、用户名称、礼品名称、分类、积分、提交时间、状态、备注、收货人、收货人联系方式、收货地址、物流公司、物流单号和后台操作时间。未发货时，物流公司和物流单号为空
</t>
  </si>
  <si>
    <r>
      <rPr>
        <color indexed="12"/>
        <sz val="11.0"/>
        <rFont val="Calibri"/>
      </rPr>
      <t>管理后台-积分管理-礼品管理</t>
    </r>
  </si>
  <si>
    <r>
      <rPr>
        <color indexed="12"/>
        <sz val="11.0"/>
        <rFont val="Calibri"/>
      </rPr>
      <t>2026/04/22 17:56:39 GMT+08:00</t>
    </r>
  </si>
  <si>
    <r>
      <rPr>
        <color indexed="12"/>
        <sz val="11.0"/>
        <rFont val="Calibri"/>
      </rPr>
      <t>2026/03/12 17:04:41 GMT+08:00</t>
    </r>
  </si>
  <si>
    <t xml:space="preserve">礼品管理
原型图
序号
组件名称
功能描述
备注
1
列表
1、入口：积分管理-礼品管理页面
2、列表项：礼品ID、礼品名称、分类、封面图、状态、积分、库存数量、兑换量、操作列
3、列表筛选：可按礼品名称、分类、状态查询
4、列表排序：支持积分、库存数量、兑换量排序。默认和兜底排序为礼品创建时间倒序排列
5、操作-编辑：点击按钮后，弹出礼品详情框，内容与新增礼品类似
6、操作-上/下架：点击按钮，二次确认提示“是否上/下架此礼品”，确定后更新礼品状态和小程序端显示状态
7、操作-删除：点击按钮，二次确认提示“是否删除此礼品”，确定后逻辑删除，小程序端不再显示此礼品。有兑换订单不允许删除
库存为0时，小程序端商城首页和详情页兑换按钮文案为“已兑完”，按钮置灰。库存：提交订单即扣除库存，取消订单回滚
2
新增礼品
1、 新增：点击新增礼品按钮，打开新增分类对话框。
2、礼品名称：必填，字数不超过30个字符
3、分类：下拉选择框、必选，可选项来自礼品分类 
4、绑定课程：仅当分类为虚拟课程时，显示该字段，选择课程后，礼品兑换即把课程直接发放到用户账号（可选课程为目前后台已公开的非免费课程）
4、积分：数字框、必填、正整数
5、状态：单选按钮组、必选，包含正常（默认）和下架
6、库存：数字框、必填，非负整数
7、兑换上限：包含每日兑换上限、每月兑换上限，默认均不勾选，不勾选时，右侧数字输入框置灰。勾选后，右侧上限数必填，非负整数。如均勾选，每月上限必须大于每日上限。上限生效日期为自然日/自然月
8、礼品封面图：不超过5张，支持png、jpg、jpeg格式，单张大小不超过5M，图片尺寸为4:3，设计图建议为 3 倍图
9、有效期：分类为非实物类别时，显示该字段，默认不勾选，不勾选时，右侧输入框置灰。勾选后，默认内容为“兑换码有效期为三个月，过期无效”，勾选编辑不能为空，不超过100字符
10、兑换规则：分类为非实物类别时，显示该字段，必填，不超过200字符，不支持图片
11、礼品详情：必填，不超过500字符，不支持文字，不超过10张图，支持png、jpg、jpeg格式，单张大小不超过5M
礼品名称需要做重名校验，重复时提示“名称已存在，请重新输入”
有效期三个月，生成的兑换码内需要包含兑换码截止日期
</t>
  </si>
  <si>
    <r>
      <rPr>
        <color indexed="12"/>
        <sz val="11.0"/>
        <rFont val="Calibri"/>
      </rPr>
      <t>管理后台-积分管理-礼品分类管理</t>
    </r>
  </si>
  <si>
    <r>
      <rPr>
        <color indexed="12"/>
        <sz val="11.0"/>
        <rFont val="Calibri"/>
      </rPr>
      <t>2026/04/22 17:56:29 GMT+08:00</t>
    </r>
  </si>
  <si>
    <r>
      <rPr>
        <color indexed="12"/>
        <sz val="11.0"/>
        <rFont val="Calibri"/>
      </rPr>
      <t>2026/03/12 17:04:05 GMT+08:00</t>
    </r>
  </si>
  <si>
    <t xml:space="preserve">礼品分类管理
原型图
序号
组件名称
功能描述
备注
1
列表
1、入口：积分管理-礼品分类管理页面
2、列表项：排序操作列、分类名称、礼品数量、兑换量（统计提交兑换数量，取消订单回滚）、状态、操作列
3、排序：拖拽左侧的排序图标进行排序，未启用的类别不支持拖拽排序，小程序端积分商城按排序展示分类。未启用的类别默认排在末尾，新增的类别默认排在已启用类型最上方
4、操作-编辑：点击编辑按钮，弹出编辑分类对话框，与新增分类对话框内容相同
5、操作-禁用/启用：点击按钮后，二次确认提示“是否启用/禁用此类别？”，确定后更新状态字段和操作文案。状态为禁用时，该类别的分类标签及全部礼品在小程序端取消显示；状态为启用且当该类别下正常上架的所属的礼品数量不为0时，方可在小程序端显示
6、操作-删除：点击删除按钮，二次确认提示“是否删除此类别？确认删除后，此类别下所属的礼品会被全部删除”，确定后逻辑删除此类别，礼品管理列表下的其所属礼品也被全部逻辑删除
初始化包含：实物商品、虚拟课程、模流分析服务、模具设计服务，启用状态
2
新增分类
1、 新增：点击新增分类按钮，打开新增分类对话框。分类名称必填，字数不超过10个字符。状态必填，单选按钮组，默认为启用状态
分类名称需要做重名校验，重复时提示“名称已存在，请重新输入”
</t>
  </si>
  <si>
    <r>
      <rPr>
        <color indexed="12"/>
        <sz val="11.0"/>
        <rFont val="Calibri"/>
      </rPr>
      <t>管理后台-用户积分管理</t>
    </r>
  </si>
  <si>
    <r>
      <rPr>
        <color indexed="12"/>
        <sz val="11.0"/>
        <rFont val="Calibri"/>
      </rPr>
      <t>2026/05/21 15:43:24 GMT+08:00</t>
    </r>
  </si>
  <si>
    <r>
      <rPr>
        <color indexed="12"/>
        <sz val="11.0"/>
        <rFont val="Calibri"/>
      </rPr>
      <t>2026/03/12 17:03:40 GMT+08:00</t>
    </r>
  </si>
  <si>
    <t xml:space="preserve">
用户积分管理
原型图
序号
组件名称
功能描述
备注
1
列表
1、用户列表下，新增一列“积分”，此列支持排序，排序功能与旁边的关注数、粉丝数、获赞&amp;收藏数类似
2
积分明细
1、 操作：点击操作列-详情按钮，弹出详情对话框
2、详情对话框增加积分栏，积分列表项包含积分值、途径、类型、板块、时间和备注。积分列表按时间倒序排列，支持分页组件，默认10条。默认展示近30天的积分明细，可根据时间查询更多数据，其中途径、类型、板块可以联合筛选，比如先选“类型”（获得/消耗），对应的“途径”下拉框自动只显示该类型下的途径。每个属性筛选框包含全选/全不选、重置、确定按钮，重置即默认不筛选字段，确定更新显示表格内容
3、途径
途径-获得：日常签到、连续签到3天、连续签到7天、连续签到15天、连续签到30天、浏览帖子、评论帖子、发布帖子、帖子被精选、帖子获赞、完善资料、粉丝数达20、粉丝数50、粉丝数100、粉丝数200、案例被复制、分享至聊天、分享至朋友圈、后台激励、积分退回
途径-消耗：后台扣除、帖子获赞被取消、删除帖子、删除评论、兑换案例、积分过期、兑换礼品
4、类型分为获得和消耗，板块分为小程序、超云
5、备注：当途径为兑换礼品时，显示兑换订单号，点击后弹出订单详情框；当途径为评论/发帖/案例被购买/精选帖子/兑换案例时，备注显示评论id/帖子id/案例id/帖子id/案例id，点击弹出对应的详情框
1、途径消耗：删除取消公开案例这个枚举值（该功能从迭代十一开始，在小程序内不支持取消公开案例）
</t>
  </si>
  <si>
    <r>
      <rPr>
        <color indexed="12"/>
        <sz val="11.0"/>
        <rFont val="Calibri"/>
      </rPr>
      <t>小程序-接入积分中台、积分规则【跨迭代】</t>
    </r>
  </si>
  <si>
    <r>
      <rPr>
        <color indexed="12"/>
        <sz val="11.0"/>
        <rFont val="Calibri"/>
      </rPr>
      <t>2026/03/12 17:03:17 GMT+08:00</t>
    </r>
  </si>
  <si>
    <t xml:space="preserve">功能逻辑：
粉丝数奖励为一次性，补充重复，取关后重新到20不会继续发放积分
积分消耗优先级：优先消耗即将过期积分
业务线积分上限区分计算
后台充值积分不包括在内
活动期间，积分翻倍容易超过600分，上限规则暂时失效
1、 小程序积分统计口径
途径-获得：日常签到、连续签到3天、连续签到7天、连续签到15天、连续签到30天、浏览帖子、评论帖子、发布帖子、帖子被精选、帖子获赞、完善资料、粉丝数达20、粉丝数50、粉丝数100、粉丝数200、案例被复制、分享至聊天、分享至朋友圈、后台激励、积分退回
途径-消耗：后台扣除、帖子获赞被取消、删除帖子、删除评论、兑换案例、积分过期、兑换礼品
2、  数据传输
小程序发生积分变动，小程序传给中台：● 积分变动记录：流水编号、用户信息、时间、积分值、余额、口径、来源平台（小程序）、类型（ 获取、消耗）
其他平台发生积分变动，中台传给小程序：● 积分变动记录：流水编号、用户信息、时间、积分值、余额、口径、来源平台（小程序）、类型（ 获取、消耗）
● 小程序积分值更新，积分记录更新，小程序内管理后台数据更新
“铸问”小程序积分规则
一、积分获取方式
（一）通过小程序获取
1、登录签到用户每天首次登录小程序后，点击个人中心的“签到”按钮，即可完成当日签到，获得10积分。
用户连续签到天数达到一定标准，可获得额外积分奖励。
连续签到3天：额外奖励30分。
连续签到7天：额外奖励100分。
连续签到15天：额外奖励200分。
连续签到30天：额外奖励500分。
连续签到中断：如果用户中断签到，连续签到天数将重新计算。
签到循环：累计签到30天后，进入下一循环，签到从第1天开始，以此类推。
2、浏览帖子内容用户浏览图文或视频帖子，进入帖子详情页记为一次有效浏览。
每次有效浏览不同帖子可获得基础积分 10 分，相同帖子重复浏览不重复累计积分。
用户每日最多通过浏览帖子获取 200 积分，达到上限后当日不再增加。
3、评论内容用户对图文帖子、视频帖子帖子发表评论，评论需符合社区规范，字数不少于8字。每条评论可获得20积分。
用户每日最多通过发表评论获取100积分。
3天内删除发布的评论扣除相应积分
4、发帖用户成功发布一个帖子，可获得基础积分100分。帖子需符合社区规范，内容完整且有意义。
如果帖子被系统标记为“精选帖子”，额外获得500分
用户的帖子每获得一个点赞，可获得10分。每日帖子被点赞积分上限为200分。
点赞3天内取消扣除积分，3天后取消不扣除积分。
用户每日通过发布普通帖子获取积分的上限为300积分。通过精品贴获得的积分每日上限为1500分。
1月内，用户自发删帖或者（由于帖子被投诉）被管理员删帖后，帖子所获积分自动扣除
5、成长任务积分用户在小程序内完善个人身份信息后获得50积分，需完整包含：头像、昵称、性别、地区、个人简介
粉丝量达到20：奖励500分
粉丝量达到50：奖励1000分
粉丝量达到100：奖励2000分
粉丝量达到200：奖励10000分 
6、仿真案例库积分用户可以固定积分的形式提供仿真案例在小程序售卖，买家支付后，所得积分会直接进入卖家积分账户
7、分享积分分享任意帖子、案例库、详情页至聊天获得80积分，每天限1次。
分享任意帖子、案例库、详情页至朋友圈获得80积分，每天限1次。
（二）通过智铸超云获取
1、登录用户每日PC端登录智铸超云账号，获得10积分
2、任务计算与分享用户在智铸超云提交成功一次计算，获得100积分，每天限1次
用户提交的任务数量网格量超过5000万，额外获得50积分，每天限1次。
用户分享任务链接，其他人成功通过链接成功查看任务后，分享者获得30积分，每天限1次。
3、案例公开用户可将计算成功的任务进行公开，获得200积分，案例不能重复，每天限5次，最多通过公开案例积分获得1000积分。
1月内，用户取消分享，积分自动扣除。
二、积分限制与有效期
（一）积分限制
每日积分上限为保证积分获取的公平性和合理性，用户每日通过上述方式获取的积分总和有以下限制：
每日通过小程序及超云（不包含公开案例、被评选为精品贴、粉丝增长行为获得的积分）获取的积分上限为600积分，超过部分不计入在内。
（二）积分有效期
1、  积分有效期用户获取的积分自获得之日起有效期为365天。在有效期内，用户可以使用积分兑换礼品、服务等。过期积分将自动清零，但用户可以在小程序内查看历史积分记录。
2、  特殊活动积分在限时活动中获取的积分，会有不同的有效期规则。活动积分的具体有效期将在活动页面或相关通知中明确说明，用户需按照活动规则使用积分。
如周年庆期间，以上所有动作获得的积分翻倍，产品功能上是否容易实现。（用户协议中记得删除此句）
三、违规处理
（一）违规行为
1、恶意刷积分包括但不限于使用非法软件、脚本等工具自动阅读帖子、发表评论、创作内容；通过虚假账号或恶意注册多个账号进行积分获取；与他人串通进行虚假互动（如互相点赞、评论等）以获取积分等行为。
2、发布违规内容在评论区或其他可发布内容的区域发布违反法律法规、社会公德、小程序社区规范的内容，如广告、色情、暴力、歧视、恶意攻击等信息。
（二）处罚措施
1、警告对于首次违规行为，给予警告处理。警告信息将通过小程序消息推送或站内信等方式通知用户，提醒用户遵守积分获取规则。
2、扣除积分对于情节较轻的违规行为，扣除用户违规获取的积分，并给予一定的惩罚性积分扣除。例如，恶意刷积分扣除双倍违规积分；发布违规评论扣除该评论所获得的积分以及额外的10积分惩罚。
3、  冻结账号对于情节严重的违规行为，如多次恶意刷积分、发布严重违规内容等，将冻结用户账号。冻结期间，用户无法登录小程序、获取积分、使用积分兑换等功能。账号冻结期限根据违规情节严重程度确定，一般为1-3个月。
4、  永久封禁对于屡次违规、情节特别严重或造成恶劣影响的用户，将永久封禁其账号。永久封禁后，用户无法再次注册使用该小程序，其账号内的所有积分、数据等将被清空且不予恢复。
四、积分查询与使用
（一）积分查询
1、查询入口用户可以在小程序的“我的”页面找到“积分中心”入口，点击进入后可查看当前积分余额、积分获取记录、积分使用记录、积分有效期等详细信息。
2、积分明细积分获取记录会详细展示用户在小程序以及智铸超云获取的积分明细：包含阅读帖子、发表评论、计算、分享等获取积分的信息；
积分使用记录会显示用户使用积分兑换礼品、服务等的时间、数量、兑换内容等信息。
（二）积分使用
1、兑换礼品用户可以在小程序内的“积分商城”使用积分兑换各种礼品，如实物商品（如书籍、文具、电子产品等）、虚拟商品（如课程、优惠券等）。不同礼品所需的积分数量会根据礼品的价值进行设定，并在礼品详情页面明确标注。
2、购买案例用户可以在小程序内的“仿真案例库”使用积分购买案例
五、规则更新与解释权
（一）规则更新
1、更新通知为了更好地维护内容生态小程序的正常运营和用户体验，本积分获取规则可能会根据实际情况进行更新和调整。更新后的规则将在小程序内通过公告、消息推送等方式提前通知用户，用户可以在公告页面查看最新的规则内容。
2、生效时间更新后的规则自公告中指定的生效日期起生效。用户在规则生效后继续使用小程序获取积分的行为，将视为用户已经阅读、理解并同意遵守更新后的规则。
（二）解释权
最终解释权本积分获取规则的最终解释权归“铸问”小程序所有。如果用户对规则有任何疑问或需要进一步解释，可以通过小程序内的客服渠道进行咨询，小程序运营方将根据规则和实际情况为用户提供解答。
</t>
  </si>
  <si>
    <r>
      <rPr>
        <color indexed="12"/>
        <sz val="11.0"/>
        <rFont val="Calibri"/>
      </rPr>
      <t>【原始需求、BUG收集ID：5】修复后台删除课程详情图无效的bug</t>
    </r>
  </si>
  <si>
    <r>
      <rPr>
        <color indexed="12"/>
        <sz val="11.0"/>
        <rFont val="Calibri"/>
      </rPr>
      <t>2026/04/08 10:11:29 GMT+08:00</t>
    </r>
  </si>
  <si>
    <r>
      <rPr>
        <color indexed="12"/>
        <sz val="11.0"/>
        <rFont val="Calibri"/>
      </rPr>
      <t>2026/03/12</t>
    </r>
  </si>
  <si>
    <r>
      <rPr>
        <color indexed="12"/>
        <sz val="11.0"/>
        <rFont val="Calibri"/>
      </rPr>
      <t>2026/03/31</t>
    </r>
  </si>
  <si>
    <r>
      <rPr>
        <color indexed="12"/>
        <sz val="11.0"/>
        <rFont val="Calibri"/>
      </rPr>
      <t>2026/03/10 10:43:13 GMT+08:00</t>
    </r>
  </si>
  <si>
    <t xml:space="preserve">bug：管理后台上传了课程详情图，编辑删除后，小程序端仍显示
</t>
  </si>
  <si>
    <r>
      <rPr>
        <color indexed="12"/>
        <sz val="11.0"/>
        <rFont val="Calibri"/>
      </rPr>
      <t>管理后台-【原始需求、BUG收集ID：3】课程封面图支持上传两种不同比例图</t>
    </r>
  </si>
  <si>
    <r>
      <rPr>
        <color indexed="12"/>
        <sz val="11.0"/>
        <rFont val="Calibri"/>
      </rPr>
      <t>2026/03/27</t>
    </r>
  </si>
  <si>
    <r>
      <rPr>
        <color indexed="12"/>
        <sz val="11.0"/>
        <rFont val="Calibri"/>
      </rPr>
      <t>2026/03/05 18:35:49 GMT+08:00</t>
    </r>
  </si>
  <si>
    <t xml:space="preserve">原型设计
功能逻辑
1、课程图支持两种比例上传：管理后台-课程管理，新增课程和编辑课程对话框，将原课程封面改成两个字段-课程封面大图、课程封面小图，提示比例文案大图21:9，小图4:3。小程序端课程：左边是图、右边是课程名的都用小图，上边是图、下边是课程名的都用大图
2、已有课程数据：默认大图、小图均为已上传的封面图，需要上线后手动重新上传新的比例图
</t>
  </si>
  <si>
    <r>
      <rPr>
        <color indexed="12"/>
        <sz val="11.0"/>
        <rFont val="Calibri"/>
      </rPr>
      <t>服务器迁移时间评估</t>
    </r>
  </si>
  <si>
    <r>
      <rPr>
        <color indexed="12"/>
        <sz val="11.0"/>
        <rFont val="Calibri"/>
      </rPr>
      <t>2026/03/10 10:41:05 GMT+08:00</t>
    </r>
  </si>
  <si>
    <r>
      <rPr>
        <color indexed="12"/>
        <sz val="11.0"/>
        <rFont val="Calibri"/>
      </rPr>
      <t>窦恒山</t>
    </r>
  </si>
  <si>
    <r>
      <rPr>
        <color indexed="12"/>
        <sz val="11.0"/>
        <rFont val="Calibri"/>
      </rPr>
      <t>2026/02/27</t>
    </r>
  </si>
  <si>
    <r>
      <rPr>
        <color indexed="12"/>
        <sz val="11.0"/>
        <rFont val="Calibri"/>
      </rPr>
      <t>2026/03/17</t>
    </r>
  </si>
  <si>
    <r>
      <rPr>
        <color indexed="12"/>
        <sz val="11.0"/>
        <rFont val="Calibri"/>
      </rPr>
      <t>2026/03/05 18:02:58 GMT+08:00</t>
    </r>
  </si>
  <si>
    <r>
      <rPr>
        <color indexed="12"/>
        <sz val="11.0"/>
        <rFont val="Calibri"/>
      </rPr>
      <t>小程序-【原始需求、BUG收集ID：4】课程页面和标签优化</t>
    </r>
  </si>
  <si>
    <r>
      <rPr>
        <color indexed="12"/>
        <sz val="11.0"/>
        <rFont val="Calibri"/>
      </rPr>
      <t>2026/03/05 17:50:30 GMT+08:00</t>
    </r>
  </si>
  <si>
    <t xml:space="preserve">功能逻辑：
1、正在学习标签：仅当购买课程且该课时视频播放的时候显示标签
2、未购买：课程介绍、课程目录、评价页，大标题均显示课程名称，之前的课题名称标签不显示
</t>
  </si>
  <si>
    <r>
      <rPr>
        <color indexed="12"/>
        <sz val="11.0"/>
        <rFont val="Calibri"/>
      </rPr>
      <t>小程序-学习视频课程规则调整</t>
    </r>
  </si>
  <si>
    <r>
      <rPr>
        <color indexed="12"/>
        <sz val="11.0"/>
        <rFont val="Calibri"/>
      </rPr>
      <t>2026/03/05 16:18:47 GMT+08:00</t>
    </r>
  </si>
  <si>
    <t xml:space="preserve"> 功能逻辑
1、小程序端，学习视频课程时进度条不可拖动
</t>
  </si>
  <si>
    <r>
      <rPr>
        <color indexed="12"/>
        <sz val="11.0"/>
        <rFont val="Calibri"/>
      </rPr>
      <t>小程序-视频文件大小上限技术方案（压缩前500M）</t>
    </r>
  </si>
  <si>
    <r>
      <rPr>
        <color indexed="12"/>
        <sz val="11.0"/>
        <rFont val="Calibri"/>
      </rPr>
      <t>2026/03/10 10:40:30 GMT+08:00</t>
    </r>
  </si>
  <si>
    <r>
      <rPr>
        <color indexed="12"/>
        <sz val="11.0"/>
        <rFont val="Calibri"/>
      </rPr>
      <t>2026/03/05 16:10:31 GMT+08:00</t>
    </r>
  </si>
  <si>
    <r>
      <rPr>
        <color indexed="12"/>
        <sz val="11.0"/>
        <rFont val="Calibri"/>
      </rPr>
      <t>小程序-最新和推荐位置互换、置顶帖展示在最新排序tab</t>
    </r>
  </si>
  <si>
    <r>
      <rPr>
        <color indexed="12"/>
        <sz val="11.0"/>
        <rFont val="Calibri"/>
      </rPr>
      <t>2026/03/05 15:49:34 GMT+08:00</t>
    </r>
  </si>
  <si>
    <t xml:space="preserve">原型设计
功能逻辑
1、小程序首页：最新提问和推荐互换顺序，最新提问为打开首页的默认展示内容
2、置顶：管理后台-帖子管理的置顶功能，放到最新提问下。即置顶的帖子，由在推荐tab展示改成在最新提问tab展示
</t>
  </si>
  <si>
    <r>
      <rPr>
        <color indexed="12"/>
        <sz val="11.0"/>
        <rFont val="Calibri"/>
      </rPr>
      <t>【测试】视频课程速度测试</t>
    </r>
  </si>
  <si>
    <r>
      <rPr>
        <color indexed="12"/>
        <sz val="11.0"/>
        <rFont val="Calibri"/>
      </rPr>
      <t>2026/03/18 17:17:15 GMT+08:00</t>
    </r>
  </si>
  <si>
    <r>
      <rPr>
        <color indexed="12"/>
        <sz val="11.0"/>
        <rFont val="Calibri"/>
      </rPr>
      <t>2026/03/05 14:14:35 GMT+08:00</t>
    </r>
  </si>
  <si>
    <t xml:space="preserve">1、支持视频高清度、上传速度、加载速度
2、测试体验版环境100带宽下，上传视频大小上限
</t>
  </si>
  <si>
    <r>
      <rPr>
        <color indexed="12"/>
        <sz val="11.0"/>
        <rFont val="Calibri"/>
      </rPr>
      <t>小程序-话题详情页面和交互优化</t>
    </r>
  </si>
  <si>
    <r>
      <rPr>
        <color indexed="12"/>
        <sz val="11.0"/>
        <rFont val="Calibri"/>
      </rPr>
      <t>低</t>
    </r>
  </si>
  <si>
    <r>
      <rPr>
        <color indexed="12"/>
        <sz val="11.0"/>
        <rFont val="Calibri"/>
      </rPr>
      <t>2026/03/04 18:33:22 GMT+08:00</t>
    </r>
  </si>
  <si>
    <t xml:space="preserve">原型设计
更改前                          更改后
功能逻辑
1、去掉“全部回答”文案，取消列表和卡片切换按钮，页面统一采用卡片式展示
</t>
  </si>
  <si>
    <r>
      <rPr>
        <color indexed="12"/>
        <sz val="11.0"/>
        <rFont val="Calibri"/>
      </rPr>
      <t>管理后台-用户访问数据统计</t>
    </r>
  </si>
  <si>
    <r>
      <rPr>
        <color indexed="12"/>
        <sz val="11.0"/>
        <rFont val="Calibri"/>
      </rPr>
      <t>2026/03/04 09:26:08 GMT+08:00</t>
    </r>
  </si>
  <si>
    <t xml:space="preserve">原型设计
功能逻辑
规则说明
1、日期：默认为今天
2、表格内容：用户ID、用户名、访问时间（当日首次访问时间）、用户身份。
3、表格排序：访问时间倒序排列
交互说明：
1、入口：管理后台-用户管理下新增标签页“数据统计”
2、查询过去某天数据：选择日期切换至过去的一天，点击刷新按钮，重置查询字段并更新表格数据
3、搜索表格信息：可根据用户名、身份搜索表格，点击查询筛选，点击重置恢复全部信息
</t>
  </si>
  <si>
    <r>
      <rPr>
        <color indexed="12"/>
        <sz val="11.0"/>
        <rFont val="Calibri"/>
      </rPr>
      <t>小程序-发帖视频优化</t>
    </r>
  </si>
  <si>
    <r>
      <rPr>
        <color indexed="12"/>
        <sz val="11.0"/>
        <rFont val="Calibri"/>
      </rPr>
      <t>2026/03/03 18:29:50 GMT+08:00</t>
    </r>
  </si>
  <si>
    <t xml:space="preserve">原型设计
功能逻辑
规则说明
1、视频类帖子：有且仅有一个视频，不支持图片，最大压缩前500M，其余限制与图文类帖子类似
交互说明
1、视频拍摄后，画质优化提升
2、视频封面加载速度提升，视频类帖子分享到聊天和朋友圈图片采用视频封面图
3、视频和图文帖区分：点击发帖按钮，显示“图文类问答”和“视频类问答”，选择类型后进入帖子编辑页面。
4、管理后台-帖子管理：表格增加类型列在标题列后边展示，类型包含视频、图文两类，搜索支持类型字段，帖子详情弹窗同时包含图片和视频字段，有则显示，无内容则为空。（迭代九上线前的全部帖子归为图文类）
4、视频类帖子，在首页封面加上视频播放图标，点击帖子后，进入到帖子详情页，视频自动播放
6、视频支持全屏播放
7、视频尺寸适配缩放，不要有黑边
</t>
  </si>
  <si>
    <r>
      <rPr>
        <color indexed="12"/>
        <sz val="11.0"/>
        <rFont val="Calibri"/>
      </rPr>
      <t>管理后台-用户列表导出功能</t>
    </r>
  </si>
  <si>
    <r>
      <rPr>
        <color indexed="12"/>
        <sz val="11.0"/>
        <rFont val="Calibri"/>
      </rPr>
      <t>2026/03/03 11:32:31 GMT+08:00</t>
    </r>
  </si>
  <si>
    <t xml:space="preserve">原型设计
功能逻辑
规则说明
1、导出列：包含列表除头像和操作列的全部信息（用户ID、用户名称、手机号、位置、关注数、粉丝数、获赞&amp;收藏数、身份、状态、注册时间）
2、导出行：根据筛选结果的列表行导出
3、导出上限：最高支持10万条，否则提示“导出数据超过10万条，暂不支持”
交互说明
1、点击导出excel按钮，可通过浏览器下载文件，文件名为“小程序用户列表”，格式为.xlsx。
2、用户列表支持左右滑动
</t>
  </si>
  <si>
    <r>
      <rPr>
        <color indexed="12"/>
        <sz val="11.0"/>
        <rFont val="Calibri"/>
      </rPr>
      <t>管理后台-帖子管理增加阅读量统计、支持排序</t>
    </r>
  </si>
  <si>
    <r>
      <rPr>
        <color indexed="12"/>
        <sz val="11.0"/>
        <rFont val="Calibri"/>
      </rPr>
      <t>2026/03/03 11:28:35 GMT+08:00</t>
    </r>
  </si>
  <si>
    <t xml:space="preserve">功能逻辑
1、管理后台-帖子管理页的列表，增加阅读量(UV)、点赞数、收藏数三列(在列表的审核状态列后边展示），并支持排序，排序功能设计参照﻿﻿﻿﻿管理后台-用户列表增加排序﻿﻿﻿﻿
</t>
  </si>
  <si>
    <r>
      <rPr>
        <color indexed="12"/>
        <sz val="11.0"/>
        <rFont val="Calibri"/>
      </rPr>
      <t>管理后台-学习进度统计</t>
    </r>
  </si>
  <si>
    <r>
      <rPr>
        <color indexed="12"/>
        <sz val="11.0"/>
        <rFont val="Calibri"/>
      </rPr>
      <t>2026/03/03 11:20:09 GMT+08:00</t>
    </r>
  </si>
  <si>
    <t xml:space="preserve">原型设计：
功能逻辑：
1、学习情况统计：
用户课程和课时进度：管理后台-用户列表-详情，增加课程统计，表格包含四列：折叠展开列、课程名称、课时名称、学习进度。一个课程作为一个父节点，可展开折叠。
课程进度：管理后台-课程管理列表，学习人数&gt;0时，旁增加查看按钮。点击查看按钮，弹出课程学习进度表格，表格包含三列：用户ID、用户名称、学习进度（课程）
课时进度：管理后台-课时管理列表，学习人数&gt;0时，旁增加查看按钮。点击查看按钮，弹出课时学习进度表格，表格包含三列：用户ID、用户名称、学习进度（单节课时）
</t>
  </si>
  <si>
    <r>
      <rPr>
        <color indexed="12"/>
        <sz val="11.0"/>
        <rFont val="Calibri"/>
      </rPr>
      <t>【原始需求、BUG收集表ID：2】小程序-AI助手显示思考过程</t>
    </r>
  </si>
  <si>
    <r>
      <rPr>
        <color indexed="12"/>
        <sz val="11.0"/>
        <rFont val="Calibri"/>
      </rPr>
      <t>2026/02/11 13:49:10 GMT+08:00</t>
    </r>
  </si>
  <si>
    <t xml:space="preserve">原型设计：
思考中，即时展示思考内容
 思考完成，折叠思考内容，展示正式回答
 思考完成，点击展开按钮，展示思考内容和正式回答
功能逻辑：
1、AI提问后，如有深度思考，在小程序前端展示思考过程的内容，深度思考完成后自动折叠思考内容，用户可点击折叠展开按钮继续展开。
</t>
  </si>
  <si>
    <r>
      <rPr>
        <color indexed="12"/>
        <sz val="11.0"/>
        <rFont val="Calibri"/>
      </rPr>
      <t>管理后台-企业培训</t>
    </r>
  </si>
  <si>
    <r>
      <rPr>
        <color indexed="12"/>
        <sz val="11.0"/>
        <rFont val="Calibri"/>
      </rPr>
      <t>2026/02/09 09:18:46 GMT+08:00</t>
    </r>
  </si>
  <si>
    <t xml:space="preserve">原型设计
功能逻辑
一、规则说明
1、处理状态：处理完成和未处理，由操作栏动作判断
二、交互说明
规则说明
1.  搜索栏：支持对姓名、联系方式、单位名称、处理状态、提交时间进行筛选搜索
2.  操作：点击“标记为已处理”按钮，状态变更为已处理，不可点击
</t>
  </si>
  <si>
    <r>
      <rPr>
        <color indexed="12"/>
        <sz val="11.0"/>
        <rFont val="Calibri"/>
      </rPr>
      <t>小程序-培训课程企业培训</t>
    </r>
  </si>
  <si>
    <r>
      <rPr>
        <color indexed="12"/>
        <sz val="11.0"/>
        <rFont val="Calibri"/>
      </rPr>
      <t>2026/02/09 09:18:17 GMT+08:00</t>
    </r>
  </si>
  <si>
    <t xml:space="preserve">原型设计
功能逻辑
一、规则说明
1、填写信息：包含姓名、联系方式、单位名称、预计培训人数、希望听到的培训主题及内容，均为必填。姓名字数限制不超过24个字，不支持特殊字符输入；联系方式限制11位数字；单位名称限制不超过50字符；预计培训人数为下拉框形式，可选项为0-50人、50-100人、100以上；希望听到的培训主题及内容限制不超过300字符
2、提交：全部字段校验通过后，方可点击，否则toast提示“请先正确填写信息”
3、企业培训服务介绍内容由市场部提供
二、交互说明
1、页面入口：点击学习中心-培训课程页面的功能栏“企业培训”进入服务介绍页面，点击服务介绍页面的申请企业培训按钮，进入培训定制信息填写页面
2、提交：全部字段校验通过后，点击提交按钮，成功后进入提交反馈页面，提示“培训已提交成功！我们将尽快与您联系”，点击返回课程按钮，回到课程首页
</t>
  </si>
  <si>
    <r>
      <rPr>
        <color indexed="12"/>
        <sz val="11.0"/>
        <rFont val="Calibri"/>
      </rPr>
      <t>小程序-架构性能优化、加载速度提升</t>
    </r>
  </si>
  <si>
    <r>
      <rPr>
        <color indexed="12"/>
        <sz val="11.0"/>
        <rFont val="Calibri"/>
      </rPr>
      <t>2026/03/06 11:24:26 GMT+08:00</t>
    </r>
  </si>
  <si>
    <r>
      <rPr>
        <color indexed="12"/>
        <sz val="11.0"/>
        <rFont val="Calibri"/>
      </rPr>
      <t>2026/02/02</t>
    </r>
  </si>
  <si>
    <r>
      <rPr>
        <color indexed="12"/>
        <sz val="11.0"/>
        <rFont val="Calibri"/>
      </rPr>
      <t>2026/02/13</t>
    </r>
  </si>
  <si>
    <r>
      <rPr>
        <color indexed="12"/>
        <sz val="11.0"/>
        <rFont val="Calibri"/>
      </rPr>
      <t>2026/02/02 17:42:52 GMT+08:00</t>
    </r>
  </si>
  <si>
    <t xml:space="preserve"> 功能逻辑：
1、以首页加载速度1s内目标，支撑年度规划日活和总用户需求，提高用户体验。
2、在加入帖子支持视频等功能后，不会影响加载速度。
3、提升内容：有问必答首页加载速度；评论、个人中心、学习中心、案例库等页面图片、视频和头像加载速度
</t>
  </si>
  <si>
    <r>
      <rPr>
        <color indexed="12"/>
        <sz val="11.0"/>
        <rFont val="Calibri"/>
      </rPr>
      <t>管理后台-话题管理增加编辑和查看详情操作</t>
    </r>
  </si>
  <si>
    <r>
      <rPr>
        <color indexed="12"/>
        <sz val="11.0"/>
        <rFont val="Calibri"/>
      </rPr>
      <t>2026/01/21 18:28:45 GMT+08:00</t>
    </r>
  </si>
  <si>
    <t xml:space="preserve">原型设计
功能设计
规则说明
1、话题简介：由后台填写，在前端展示
2、话题编辑限制：话题不超过30个字符，不能为空，不允许重复；话题简介不超过200字符，允许为空，话题简介为空时，小程序话题页的简介区域隐藏
交互说明
1、详情：点击详情操作按钮，弹出话题详情，分页显示，内容为关联该话题的帖子列表，包含序号、帖子标题、发布时间、帖子详情列，点击帖子详情按钮，弹出帖子详情（参考帖子管理页面的详情查看）
2、编辑：点击编辑操作按钮，弹出话题编辑，对话题名称和话题简介进行编辑，点击确定toast提示：是否确定保存？【确定/取消】，二次确认后，更新列表相关字段内容及小程序前端展示信息
3、新增话题：点击新增话题按钮，补充话题简介字段，内容限制和形式同编辑
</t>
  </si>
  <si>
    <r>
      <rPr>
        <color indexed="12"/>
        <sz val="11.0"/>
        <rFont val="Calibri"/>
      </rPr>
      <t>管理后台-帖子管理增加精选状态</t>
    </r>
  </si>
  <si>
    <r>
      <rPr>
        <color indexed="12"/>
        <sz val="11.0"/>
        <rFont val="Calibri"/>
      </rPr>
      <t>2026/01/21 17:43:08 GMT+08:00</t>
    </r>
  </si>
  <si>
    <t xml:space="preserve">原型设计
功能逻辑
规则说明
1、精选状态字段：后台管理-帖子管理列表增加一列，分为“ 非精选 ”和“ 精选 ”
2、增加精选状态查询：当选择精选查询时，查询后的列表按精选操作时间倒序排列
交互说明：
1、精选操作：点击精选按钮，更新精选状态字段为精选，记录精选操作的时间。点击取消精选按钮，更新状态字段为非精选
</t>
  </si>
  <si>
    <r>
      <rPr>
        <color indexed="12"/>
        <sz val="11.0"/>
        <rFont val="Calibri"/>
      </rPr>
      <t>管理后台-用户列表增加排序</t>
    </r>
  </si>
  <si>
    <r>
      <rPr>
        <color indexed="12"/>
        <sz val="11.0"/>
        <rFont val="Calibri"/>
      </rPr>
      <t>2026/01/21 17:22:04 GMT+08:00</t>
    </r>
  </si>
  <si>
    <t xml:space="preserve">
功能逻辑
规则说明
1、管理后台-用户列表下，关注数、粉丝数、获赞&amp;收藏数三列增加排序，包含降序和升序。仅允许一列排序，点击新列排序时自动清除其他列状态
交互说明
1、排序：升序-降序-取消依次循环。点击排序按钮，对列表内容按所选列大小升序排列；再次点击，则按降序排列；再次点击，则取消，按用户注册时间倒序排列。
</t>
  </si>
  <si>
    <r>
      <rPr>
        <color indexed="12"/>
        <sz val="11.0"/>
        <rFont val="Calibri"/>
      </rPr>
      <t>小程序-话题页面优化和分享</t>
    </r>
  </si>
  <si>
    <r>
      <rPr>
        <color indexed="12"/>
        <sz val="11.0"/>
        <rFont val="Calibri"/>
      </rPr>
      <t>2026/01/21 17:13:01 GMT+08:00</t>
    </r>
  </si>
  <si>
    <t xml:space="preserve">功能逻辑
规则说明：
1、所有话题分享缩略图相同，标题内容的第一行为#话题名称，多余的字符以“…”显示， 第二行为“ 话题热议中，去看看吧 ”
2、话题下帖子筛选：将原最新发布、最多问答、最多点赞、最多收藏四种改为最热、最新两种。最热按点赞量降序，最新按时间倒序
交互说明：
1、分享：小程序话题页面，点击右上角“ … ”，转发到聊天和分享到朋友圈按钮为激活状态，点击完成对应操作
</t>
  </si>
  <si>
    <r>
      <rPr>
        <color indexed="12"/>
        <sz val="11.0"/>
        <rFont val="Calibri"/>
      </rPr>
      <t>小程序-加载速度提升</t>
    </r>
  </si>
  <si>
    <r>
      <rPr>
        <color indexed="12"/>
        <sz val="11.0"/>
        <rFont val="Calibri"/>
      </rPr>
      <t>2026/02/28 09:09:22 GMT+08:00</t>
    </r>
  </si>
  <si>
    <r>
      <rPr>
        <color indexed="12"/>
        <sz val="11.0"/>
        <rFont val="Calibri"/>
      </rPr>
      <t>2026/01/12</t>
    </r>
  </si>
  <si>
    <r>
      <rPr>
        <color indexed="12"/>
        <sz val="11.0"/>
        <rFont val="Calibri"/>
      </rPr>
      <t>2026/01/30</t>
    </r>
  </si>
  <si>
    <r>
      <rPr>
        <color indexed="12"/>
        <sz val="11.0"/>
        <rFont val="Calibri"/>
      </rPr>
      <t>2026/01/12 14:36:57 GMT+08:00</t>
    </r>
  </si>
  <si>
    <t xml:space="preserve">有问必答首页
个人中心-收藏中图片和头像加载速度
个人中心-我的回答中图片和头像加载速度
个人中心-互动-收到的回答中图片和头像加载速度
个人中心-互动-获赞与收中图片和头像加载速度
私信对话页头像加载
</t>
  </si>
  <si>
    <r>
      <rPr>
        <color indexed="12"/>
        <sz val="11.0"/>
        <rFont val="Calibri"/>
      </rPr>
      <t>后台管理-有问必答管理-投票管理</t>
    </r>
  </si>
  <si>
    <r>
      <rPr>
        <color indexed="12"/>
        <sz val="11.0"/>
        <rFont val="Calibri"/>
      </rPr>
      <t>2026/01/09 15:21:51 GMT+08:00</t>
    </r>
  </si>
  <si>
    <t xml:space="preserve">原型设计
功能逻辑
一、规则说明
表格：帖子ID、标题、用户昵称、身份、帖子状态、投票人数、投票问题
查询条件-投票人数：可选项包含50人以下、50-100人、100人以上。
删除：帖子二次编辑删除了投票或整个帖子都被删除，投票列表移除该投票
二、交互说明
入口：有问必答管理-投票管理
查询：按投票问题和投票人数查询
详情：点击操作列的详情按钮，弹出帖子详情，详情页补充投票问题、投票人数、选项、各选项人数及比例。
</t>
  </si>
  <si>
    <r>
      <rPr>
        <color indexed="12"/>
        <sz val="11.0"/>
        <rFont val="Calibri"/>
      </rPr>
      <t>后台管理-系统管理-投诉管理</t>
    </r>
  </si>
  <si>
    <r>
      <rPr>
        <color indexed="12"/>
        <sz val="11.0"/>
        <rFont val="Calibri"/>
      </rPr>
      <t>2026/01/08 16:05:40 GMT+08:00</t>
    </r>
  </si>
  <si>
    <t xml:space="preserve">原型设计
功能逻辑
一、规则说明
1、投诉类型：帖子
2、处理状态：未处理、删帖、不通过
3、处理的反馈消息：反馈消息根据结果有默认值，允许编辑、不能为空，不超过200字符。允许为空，为空即不发送消息
不通过-投诉人：
您好！根据您提供的资料，暂时无法判定帖子《 {帖子标题} 》有侵权情况，如需继续投诉，请补充更详细举证材料，感谢您的监督。
不通过-被投诉人：
您好！您的帖子《 {帖子标题} 》可能涉及违反社区规范，请自查是否有违规信息，如有违规请尽快删除，如未删除后续产生的后果需自行承担。
删帖-投诉人：
您好！您投诉的帖子《 {帖子标题} 》已由平台审核并处理。感谢您对社区环境的关注，欢迎继续监督。
删帖-被投诉人：
您好！您的帖子《 {帖子标题} 》因违反社区规范，被删除处理。如您认为处理有误，请通过系统消息提交申诉。
4、处理备注：备注允许为空，不超过50字符
5、消息提醒：当有未读消息时，消息操作按钮右上角显示红点；点击消息按钮打开对话框即视为已读
6、回复消息限制：不超过200字符
二、交互说明
入口：系统管理-投诉管理
列表：投诉ID、投诉类型、投诉原因、投诉描述、图片、投诉人名称、被投诉帖子ID、被投诉人名称、投诉时间、处理时间、处理状态、备注、操作
排序：按投诉时间倒序排列
查询：根据字段完成查询
查看被投诉帖子：在被投诉帖子ID列旁点击“查看”按钮，弹出帖子详情对话框（参考帖子管理的详情查看）
处理操作：点击处理操作按钮，弹出处理对话框。选择处理结果，显示对应待发送的消息，填写备注后，点击确定按钮，提示“确认处理该投诉?”【确定/取消】，再次确定后，自动发系统消息。如处理结果选择了删帖，逻辑删除被投诉帖子。更新处理操作按钮为已处理，不可点击，记录处理操作确定时间并填入处理时间字段
投诉人/被投诉人消息操作：点击消息按钮，弹出消息对话框，显示用户名称，对话记录包含历史消息内容和时间(包括系统自动发送的消息），回复消息复选框默认不勾选，点击确定按钮，关闭窗口；若选中则显示回复内容输入框，输入消息后，点击确定按钮，提示“确认回复（被）投诉人的信息?”【确定/取消】，再次确定后，自动发系统消息
</t>
  </si>
  <si>
    <r>
      <rPr>
        <color indexed="12"/>
        <sz val="11.0"/>
        <rFont val="Calibri"/>
      </rPr>
      <t>小程序-支持投诉帖子</t>
    </r>
  </si>
  <si>
    <r>
      <rPr>
        <color indexed="12"/>
        <sz val="11.0"/>
        <rFont val="Calibri"/>
      </rPr>
      <t>2026/01/07 16:18:04 GMT+08:00</t>
    </r>
  </si>
  <si>
    <t xml:space="preserve">原型设计
UI链接：超云生态小程序（V1） 开发 - MasterGo
功能设计
一、规则说明
投诉：
投诉原因：必填，支持多选、最少一项，否则点击提交时提示“请至少选择一项投诉原因”。选择包含“其他”时，投诉描述必填，否则提示“请填写投诉描述，帮助我们更好地处理您的问题”
投诉描述：非必填，最多200字
图片上传：非必填，最多支持上传9张，图片格式限制为JPG / JPEG / PNG，单张不超过20MB
消息通知：
投诉结果：成功、失败，与后台处理状态匹配，删帖-成功，不通过-失败
处理结果：带入后台处理时填写的反馈消息
提交后立即通知投诉人收到：
您好！您投诉帖子《 {帖子标题} 》的反馈信息已收到，官方会在3个工作日内核实，请等待回复。
侵权类通知被投诉人自查：
您好！您的帖子《 {帖子标题} 》可能涉及侵权，已被用户投诉，请自查是否有违规信息，如有违规请在3日内删除，如未删除后续产生的后果需自行承担。
三日内删帖通知投诉人成功：
您好！您投诉的帖子《 {帖子标题} 》已由平台审核并处理。感谢您对社区环境的关注，欢迎继续监督。
侵权类三日后未删贴通知投诉人：
您好！根据您提供的资料，暂时无法判定帖子《 {帖子标题} 》有侵权情况，如需继续投诉，请补充更详细举证材料，感谢您的监督。
投诉帖子/被投诉帖子：被投诉帖子的标题
投诉原因/被投诉原因、描述、图片：带入投诉提交时的内容
二、交互说明
投诉入口：点击帖子详情右上角“…”，弹出操作菜单，点击“投诉”按钮，进入投诉编辑页面
投诉提交：投诉编辑规则校验通过后，提交按钮激活。点击“提交”按钮，进入投诉反馈页面，提示反馈提交成功。
消息查看途径：个人中心-互动-私信下新增系统消息，点击卡片查看详情
消息反馈：提交成功后，系统向投诉人自动发通知已收到。 如投诉原因包含侵权抄袭，同时向被投诉者发通知；如投诉原因不包含侵权抄袭，不向被投诉人发通知
侵权抄袭类投诉：被投诉用户收到提醒后三日内自删帖子，记录删帖时间，后台处理状态更新为删帖，处理时间为用户删帖的时间，备注内容为“用户自行删帖”，处理操作按钮更新为已处理，并自动向投诉人发送投诉成功消息；被投诉人三日后未自行删帖，自动向投诉人发送提醒，由后台追踪处理
其他类投诉：由后台处理
系统消息对话提示语（投诉人和被投诉人页面均一直显示，置于对话框页面顶部）：
您好！如有投诉相关问题，请在此页面对话，我们将尽快与您联系。系统回复前，最多可发送5条消息
用户向系统发送消息：在后台回复前，最多允许发送5条信息（允许发送图片），否则提示“ 请等待系统回复 ”。（消息类型和字数等限制、消息审核、时间戳显示参考私信）
</t>
  </si>
  <si>
    <r>
      <rPr>
        <color indexed="12"/>
        <sz val="11.0"/>
        <rFont val="Calibri"/>
      </rPr>
      <t>管理后台-系统管理-推荐关注管理</t>
    </r>
  </si>
  <si>
    <r>
      <rPr>
        <color indexed="12"/>
        <sz val="11.0"/>
        <rFont val="Calibri"/>
      </rPr>
      <t>2026/01/06 14:08:11 GMT+08:00</t>
    </r>
  </si>
  <si>
    <t xml:space="preserve"> 功能逻辑
1、规则说明
推荐设置：最少选择3名，最多支持30名
搜索：支持按用户名称搜索
推送和更新关系：推送和撤销推送按钮为控制小程序前端显示推荐关注组件，与推荐内容无关。推荐用户列表一旦通过设置推荐完成更新，则立马生效
推送限制：列表不为空时，才能点击推送；推送用户过滤登录用户本人
2、交互说明
设置推荐：左侧导航栏一级节点“系统管理”，二级节点“推荐关注管理”，初次进入列表为空，点击设置推荐按钮，弹出对话框
穿梭框：穿梭框左侧为除推荐用户外的全站（用户状态正常）的用户列表，右侧为推荐关注用户列表，两个列表均能按关键字搜索，10条为一页，右下角可点击翻页，左上角显示列表条数，每次打开对话框前的推荐关注列表作为右侧列表的内容。至少勾选一条后激活向左/向右穿梭按钮，点击穿梭按钮完成条目移动。
确定校验：右侧推荐列表最少存在3条，否则toast提示“最少选择3名推荐用户，配置失败请重新设置”；最多存在30条，否则toast提示“最多选择30名推荐用户，配置失败请重新设置”。如符合要求且点击确定按钮，关闭对话框，从用户名称读取该用户的相关信息，更新推荐关注列表。
推荐关注列表：用户ID、用户名、手机号、头像、位置、关注数、粉丝数、获赞&amp;s收藏数、身份、状态、注册时间。分页显示，支持分页和跳转页所有行在一业内全部显示，不做分页处理
筛选：支持按用户信息筛选列表（参照用户管理）
取消推荐操作：点击取消推荐按钮，toast提示：确定从推荐关注列表移除？【确定/取消】，确定后移出列表，如移除了置顶行，注意更新置顶数量
置顶操作：点击置顶按钮，将所在行排至表格第一页最上方，多行置顶时，按操作时间倒序排列，置顶行单元格颜色用深色表示。最多支持三行置顶，否则点击置顶提示“ 置顶数量已达上限，请先取消已置顶的账号 ”。置顶后，原“置顶”按钮变为“取消置顶”按钮；点击后移出置顶区，排在置顶区的下一行
排序操作：拖拽左侧排序按钮，对推荐用户进行排序，非置顶行不能排在置顶行上，置顶行内部可以拖拽调整顺序，但不能移除置顶区（参照章节管理）
推送：选择推送时间段，点击推送按钮，弹出提示“是否确定推送列表账号到首页？”【确定/取消】，点击确定后根据推送时间段确定小程序前端推荐关注组件露出时间，更新推送状态字段
推送状态：字段仅读，包含“ 未配置 ”、“ 待生效 ”、“ 成功 ”、“ 已结束 ”、“ 已撤销 ”。“ 未配置 ”表示未配置推送过，初始状态；“ 待生效 ”表示未到推送开始时间；“ 成功 ”表示按推送时间段正常显示中；“ 已结束 ”表示已超过推送的结束日期，前端结束显示；“ 已撤销 ”表示通过点击撤销推送按钮，终止前端显示
撤销推送：仅当推送状态为“ 待生效 ” 或 “ 成功 ”时，按钮激活。点击后，弹出提示“是否确定撤销推送？”【确定/取消】，点击确定后，取消前端显示，更新推送状态字段
账号显示：列表内账号全部显示推荐关注列表行数 ÷ 3的商为展示总页数，每3名为一页，展示顺序与后台推荐关注列表顺序一致，余数不展示（如商小于1即行数小于3，首页不显示推荐关注组件；如列表8行，最后两行的账号不在前端显示）
原型设计
</t>
  </si>
  <si>
    <r>
      <rPr>
        <color indexed="12"/>
        <sz val="11.0"/>
        <rFont val="Calibri"/>
      </rPr>
      <t>小程序-支持帖子投票功能</t>
    </r>
  </si>
  <si>
    <r>
      <rPr>
        <color indexed="12"/>
        <sz val="11.0"/>
        <rFont val="Calibri"/>
      </rPr>
      <t>2026/01/06 11:31:08 GMT+08:00</t>
    </r>
  </si>
  <si>
    <t xml:space="preserve">功能逻辑
1、规则说明
投票数量：单篇帖子只能创建一个
字数：问题最多25字，否则toast提示“ 问题最多输入25字 ”；选项最多24字，否则toast提示“ 选项最多输入24字 ”。问题和选项均最少1字，否则toast提示“请先填写投票内容”
选项数：最多5个选项，最少2个选项
可删除选项：选项3、4、5可删除
重名校验：输入的各选项内容需互不相同，否则toast提示“ 选项重复，请修改选项 ”
编辑：帖子一旦发布后，投票不能被编辑，只允许删除。
参与投票：单选
2、交互说明
创建投票：点击投票按钮，进入投票创建页，底部为取消和确定按钮。编辑问题和选项，校验通过后，确定按钮激活，点击确定按钮，根据以上规则进行校验和提示，全部通过后即创建投票；点击取消按钮，不创建
增加选项：选项少于5个时出现，点击新增一个选项
删除选项：点击选项右侧删除按钮后，删除选项
二次编辑-未创建投票：点击投票按钮，与新建投票样式功能一致
二次编辑-已创建投票：
帖子未发布前，点击投票按钮或已创建的“投票·X个选项”按钮，进入编辑页，底部为删除和确定按钮。点击确定按钮，保存编辑信息；点击删除按钮，删除投票
帖子发布后，编辑帖子时，点击“投票·X个选项”按钮，投票内容不可被编辑，只能查看，点击投票问题或选项时，toast提示“帖子发布后，暂不支持编辑投票”。底部为删除投票按钮，点击后删除投票
浏览：帖子正文下方显示投票问题和选项内容，未投票前左下角提示“XXX人已参与”，未投票前不可查看投票各选项的比例
参与投票：点击选项后，即完成投票，所投选项红色高亮、未投选项灰色高亮，按比例设定高亮条长度，并显示各选项的人数，左下角提示“XXX人已参与”。用户在帖子的评论显示“ 选择了"选项X" ”标签
取消投票：再次点击已投选项或点击其他项，toast提示“确定取消投票”【确定/取消】，确定后，更新页面为未投票的状态，重新统计投票人数和比例
原型设计
（编辑帖子时，只允许删除投票）
</t>
  </si>
  <si>
    <r>
      <rPr>
        <color indexed="12"/>
        <sz val="11.0"/>
        <rFont val="Calibri"/>
      </rPr>
      <t>小程序-支持评论删除</t>
    </r>
  </si>
  <si>
    <r>
      <rPr>
        <color indexed="12"/>
        <sz val="11.0"/>
        <rFont val="Calibri"/>
      </rPr>
      <t>2026/01/06 11:22:50 GMT+08:00</t>
    </r>
  </si>
  <si>
    <t xml:space="preserve">功能逻辑
1、规则说明
权限：仅发评论的人和该评论所在帖子的帖主可以删除
2、交互说明
删除：仅有权限的人才显示删除按钮，在帖子详情页下，（或在个人中心-我的回答下面的帖子评论）长按评论弹出删除按钮，点击后，弹出提示“确定要删除该评论吗？如果有评论的回复，回复内容也会一并删除。”【确定/取消】，确定后，该评论及其回复不在用户端显示，只做逻辑删除，不做物理删除。
原型设计
</t>
  </si>
  <si>
    <r>
      <rPr>
        <color indexed="12"/>
        <sz val="11.0"/>
        <rFont val="Calibri"/>
      </rPr>
      <t>小程序-发帖支持视频格式</t>
    </r>
  </si>
  <si>
    <r>
      <rPr>
        <color indexed="12"/>
        <sz val="11.0"/>
        <rFont val="Calibri"/>
      </rPr>
      <t>2026/01/06 10:56:35 GMT+08:00</t>
    </r>
  </si>
  <si>
    <t xml:space="preserve">功能逻辑
1、规则说明
拍摄视频时间：范围为 3 s 至 60 s 
数量：图片+视频最多支持9个，视频限制最多3个，压缩质量中
文件大小：从相册上传的单个视频最大支持100 MB
管理后台：帖子管理页-详情对话框增加帖子视频字段
2、交互说明
1、拍摄视频：点击相机，长按拍摄短视频
2、浏览：浏览包含视频的帖子时，默认不自动播放，仅在点击播放按钮时在当前页内联播放
3、上传失败：支持mp4格式，格式不对，toast提示“ 不支持上传该格式视频”；文件过大，toast提示“视频文件不能超过100 MB ”
原型设计
</t>
  </si>
  <si>
    <r>
      <rPr>
        <color indexed="12"/>
        <sz val="11.0"/>
        <rFont val="Calibri"/>
      </rPr>
      <t>小程序-支持使用微信昵称和头像登录注册</t>
    </r>
  </si>
  <si>
    <r>
      <rPr>
        <color indexed="12"/>
        <sz val="11.0"/>
        <rFont val="Calibri"/>
      </rPr>
      <t>2026/01/06 09:54:21 GMT+08:00</t>
    </r>
  </si>
  <si>
    <t xml:space="preserve">功能逻辑
1、规则说明
1、手机号首次注册后跳转编辑资料页面，编辑头像和昵称
2、已完成手机号注册但中途推出编辑页面，则按小程序预设头像和昵称分配
2、交互说明
点击头像：支持使用微信头像
点击昵称：支持使用微信昵称
确定：完成头像和昵称编辑后，激活确定按钮。点击后进入小程序主页
原型设计
参考微信官方方式：
开放能力 / 用户信息 / 获取头像昵称
</t>
  </si>
  <si>
    <r>
      <rPr>
        <color indexed="12"/>
        <sz val="11.0"/>
        <rFont val="Calibri"/>
      </rPr>
      <t>小程序-首页增加推荐关注</t>
    </r>
  </si>
  <si>
    <r>
      <rPr>
        <color indexed="12"/>
        <sz val="11.0"/>
        <rFont val="Calibri"/>
      </rPr>
      <t>2026/01/05 18:45:39 GMT+08:00</t>
    </r>
  </si>
  <si>
    <t xml:space="preserve">功能逻辑
规则说明：
1、推荐规则
由后台配置
2、交互说明：
入口：首页-推荐关注，一页包含三个推荐账号
浏览：首页内，向上滑动有问必答帖子时，推荐关注内容一起滑动，非冻结显示
关注/发私信：推荐账号内容包含头像、昵称、身份标签（普通用户不显示标签）粉丝数和关注按钮，点击关注按钮，关注该账号，按钮切换为发私信状态，再次点击，跳转私信对话页。如推荐账号第一次出现在用户首页前，用户已关注，关注按钮直接变成发私信按钮
换一批：仅当推荐账号数＞3时显示。点击切换下一页，最后一页再点击后循环到第一页
原型设计
</t>
  </si>
  <si>
    <r>
      <rPr>
        <color indexed="12"/>
        <sz val="11.0"/>
        <rFont val="Calibri"/>
      </rPr>
      <t>小程序-互动新消息提醒</t>
    </r>
  </si>
  <si>
    <r>
      <rPr>
        <color indexed="12"/>
        <sz val="11.0"/>
        <rFont val="Calibri"/>
      </rPr>
      <t>2026/01/05 16:20:10 GMT+08:00</t>
    </r>
  </si>
  <si>
    <t xml:space="preserve">功能逻辑
1、规则说明：互动栏的“收到回答”、“获赞&amp;收藏”和“私信”显示未读消息数量，当未读消息超过99条时，显示99+
2、互动有未读消息时，底部“我的”一栏同时显示红点提醒
原型设计
</t>
  </si>
  <si>
    <r>
      <rPr>
        <color indexed="12"/>
        <sz val="11.0"/>
        <rFont val="Calibri"/>
      </rPr>
      <t>个人中心-案例库浏览历史</t>
    </r>
  </si>
  <si>
    <r>
      <rPr>
        <color indexed="12"/>
        <sz val="11.0"/>
        <rFont val="Calibri"/>
      </rPr>
      <t>2025/12/30 17:34:48 GMT+08:00</t>
    </r>
  </si>
  <si>
    <t xml:space="preserve">需求说明
小程序原型：https://hbzc6a.axshare.com/?g=4
后台原型：https://exxpdl.axshare.com/?g=4
浏览历史
案例库
● 功能名称：浏览历史
● 功能描述：展示用户所有的案例库浏览记录；
● 用户角色：所有用户；
● 业务规则：
1. 案例库tab，以浏览时间倒序排序；
2. 只显示最近90天的记录；
● 交互说明：
1. 点击tab按钮切换对应记录；
2. 点击卡片主体跳转对应详情页；
</t>
  </si>
  <si>
    <r>
      <rPr>
        <color indexed="12"/>
        <sz val="11.0"/>
        <rFont val="Calibri"/>
      </rPr>
      <t>小程序-私信对话功能</t>
    </r>
  </si>
  <si>
    <r>
      <rPr>
        <color indexed="12"/>
        <sz val="11.0"/>
        <rFont val="Calibri"/>
      </rPr>
      <t>2026/01/23</t>
    </r>
  </si>
  <si>
    <r>
      <rPr>
        <color indexed="12"/>
        <sz val="11.0"/>
        <rFont val="Calibri"/>
      </rPr>
      <t>2025/12/24 17:34:03 GMT+08:00</t>
    </r>
  </si>
  <si>
    <t xml:space="preserve">原型设计
他人主页-发私信                             本人主页-互动-私信             私信详情页
规则说明
1. 互动栏的红点提示：只要“收到回答”和“获赞&amp;收藏”和“私信”的未读消息数量大于0，互动按钮的红点就显示；“收到回答”和“获赞&amp;收藏”和“私信”右上角红色气泡显示未读消息数量，当该消息在页面上曝光则视为已读；
2. 他人主页显示关注按钮和发私信按钮、分享按钮，他人发布的帖子可查看；
5. 互动-私信列表：按最后消息时间倒序排列，显示对方头像、昵称、最后消息预览、未读数和时间，点击后跳转私信详情页；
6. 私信权限：
a. 陌生人私信：对方未回复前最多发 3 条，单日最多主动触达 5 位陌生人，非互关无法发图片
b. 互关私信：可正常发送文字、图片
7. 时间显示：
a. 互动-私信列表
i. 当聊天消息时间为一周之内时：当天的消息显示为“小时:分钟”形式，“昨天”、“前天”，“星期几”
ii. 当聊天消息的时间大于一周时：直接显示“年/月/日”的时间格式
b. 私信详情页
i. 五分钟一个跨度显示时间戳
ii. 当聊天消息时间为一周之内时：当天的消息显示为“小时:分钟”形式，“昨天 时:分”、“前天 时:分”，“星期几 时:分”
iii. 当聊天消息的时间大于一周时：直接显示“年/月/日 时:分”的完整时间格式
8.  敏感信息发送提示：在私信交流时，若文本或图片审核不通过时，toast提示“ 为保障安全，请勿发送违规内容 ”
交互说明
私信详情：点击发私信按钮，跳转私信详情页，顶部显示对方头像、昵称和标签。消息支持类型（文字/表情/图片）、限制字数和消息审核等要求和输入形式参照评论发布
</t>
  </si>
  <si>
    <r>
      <rPr>
        <color indexed="12"/>
        <sz val="11.0"/>
        <rFont val="Calibri"/>
      </rPr>
      <t>后台管理-支持后台配置帖子话题</t>
    </r>
  </si>
  <si>
    <r>
      <rPr>
        <color indexed="12"/>
        <sz val="11.0"/>
        <rFont val="Calibri"/>
      </rPr>
      <t>2026/01/16 13:59:44 GMT+08:00</t>
    </r>
  </si>
  <si>
    <r>
      <rPr>
        <color indexed="12"/>
        <sz val="11.0"/>
        <rFont val="Calibri"/>
      </rPr>
      <t>2025/12/29</t>
    </r>
  </si>
  <si>
    <r>
      <rPr>
        <color indexed="12"/>
        <sz val="11.0"/>
        <rFont val="Calibri"/>
      </rPr>
      <t>2026/01/09</t>
    </r>
  </si>
  <si>
    <r>
      <rPr>
        <color indexed="12"/>
        <sz val="11.0"/>
        <rFont val="Calibri"/>
      </rPr>
      <t>2025/12/24 17:24:52 GMT+08:00</t>
    </r>
  </si>
  <si>
    <t xml:space="preserve">原型设计
规则说明
配置话题：原话题为用户设置的帖子话题，不可编辑；后台话题为可搜索的多选下拉框，可选项为除原帖话题外所有未屏蔽的话题；
交互说明
配置话题：点击配置话题按钮，弹出配置话题窗口，勾选需增加的后台话题，点击确认按钮完成新增，下次弹窗时，上次保存的选择项默认为已勾选状态；单机取消按钮关闭窗口，不保存编辑内容；
a. 后台管理-帖子管理-帖子列表和具体帖子详情页面表格新增一栏“ 后台话题 ”，区分原帖话题和后台话题
b. 在小程序帖子详情页，后台话题在原帖话题后另起一行显示，用户不可编辑后台话题
</t>
  </si>
  <si>
    <r>
      <rPr>
        <color indexed="12"/>
        <sz val="11.0"/>
        <rFont val="Calibri"/>
      </rPr>
      <t>小程序-支持分享和返回首页</t>
    </r>
  </si>
  <si>
    <r>
      <rPr>
        <color indexed="12"/>
        <sz val="11.0"/>
        <rFont val="Calibri"/>
      </rPr>
      <t>2026/01/16 13:59:52 GMT+08:00</t>
    </r>
  </si>
  <si>
    <r>
      <rPr>
        <color indexed="12"/>
        <sz val="11.0"/>
        <rFont val="Calibri"/>
      </rPr>
      <t>2025/12/24 16:44:04 GMT+08:00</t>
    </r>
  </si>
  <si>
    <t xml:space="preserve">原型设计
帖子详情页导航栏
交互说明
帖子详情页顶部导航栏：点击主页按钮，回到有问必答首页
有问必答首页分享：点击顶部“ ··· ”，支持转发到聊天和分享到朋友圈
帖子详情页分享：点击顶部“ ··· ”，支持分享到朋友圈
</t>
  </si>
  <si>
    <r>
      <rPr>
        <color indexed="12"/>
        <sz val="11.0"/>
        <rFont val="Calibri"/>
      </rPr>
      <t>小程序-评论置顶和评论顺序规则调整</t>
    </r>
  </si>
  <si>
    <r>
      <rPr>
        <color indexed="12"/>
        <sz val="11.0"/>
        <rFont val="Calibri"/>
      </rPr>
      <t>2026/01/16 14:01:30 GMT+08:00</t>
    </r>
  </si>
  <si>
    <r>
      <rPr>
        <color indexed="12"/>
        <sz val="11.0"/>
        <rFont val="Calibri"/>
      </rPr>
      <t>2025/12/24 16:33:10 GMT+08:00</t>
    </r>
  </si>
  <si>
    <t xml:space="preserve">原型设计
规则说明
评论的排序规则：
● 优先分数降序排列，分数相同时，按发布时间排序，最新评论在前。
打分公式：总分 = 基础分 *（1+ 加权系数）
基础分 = 点赞数 + 0.8 * 回复数 
加权系数 = 身份系数 + 作者系数 
身份系数：专家认证用户发布的评论系数为0.4
作者系数：作者本人的评论系数为0.3，作者点赞或回复的评论系数为0.3，最高0.4。既点赞又回复的评论系数叠加合计按0.4，作者对作者本人的评论点赞（或回复或既点赞又回复）合计都是0.4
● 主评论、二级评论均按 “ 分数-时间 ” 规则排序
评论的置顶规则：
● 作者本人的主评论，默认置顶。
● 仅作者本人有置顶权限，仅允许主评论置顶，最多置顶（含默认置顶评论）5条，多条本人主评论按时间倒序排列，其余作者手动置顶的主评论按操作的时间倒序排列。当置顶评论已有5条时，作者此后发布的主评论，不参与置顶，按规则打分排序。作者手动取消置顶的评论，按规则打分排序。
交互说明
评论置顶：
 长按未置顶评论，弹出置顶按钮和取消按钮，点击置顶按钮，评论被置顶，评论下方显示“置顶评论”；点击取消按钮，不改变评论顺序。
  长按已置顶评论，弹出取消置顶按钮和取消按钮，点击取消置顶按钮，取消显示“置顶评论”，评论重新按规则排序；点击取消按钮，不改变评论置顶状态。
 当已存在五条置顶评论时，长按其他评论并点击置顶，toast提示“置顶数量已达上限，请先取消已置顶的评论”
</t>
  </si>
  <si>
    <r>
      <rPr>
        <color indexed="12"/>
        <sz val="11.0"/>
        <rFont val="Calibri"/>
      </rPr>
      <t>小程序-图片和互动消息加载速度提升</t>
    </r>
  </si>
  <si>
    <r>
      <rPr>
        <color indexed="12"/>
        <sz val="11.0"/>
        <rFont val="Calibri"/>
      </rPr>
      <t>2026/01/16 14:01:47 GMT+08:00</t>
    </r>
  </si>
  <si>
    <r>
      <rPr>
        <color indexed="12"/>
        <sz val="11.0"/>
        <rFont val="Calibri"/>
      </rPr>
      <t>2025/12/22 15:40:20 GMT+08:00</t>
    </r>
  </si>
  <si>
    <t xml:space="preserve">   
互动消息 点击后 跳转速度
列表页和详情页的头像、图片、评论区图片加载速度
</t>
  </si>
</sst>
</file>

<file path=xl/styles.xml><?xml version="1.0" encoding="utf-8"?>
<styleSheet xmlns="http://schemas.openxmlformats.org/spreadsheetml/2006/main">
  <numFmts count="0"/>
  <fonts count="7">
    <font>
      <sz val="11.0"/>
      <color indexed="8"/>
      <name val="Calibri"/>
      <family val="2"/>
      <scheme val="minor"/>
    </font>
    <font>
      <name val="Calibri"/>
      <sz val="12.0"/>
      <color indexed="20"/>
      <b val="true"/>
    </font>
    <font>
      <name val="Calibri"/>
      <sz val="11.0"/>
    </font>
    <font>
      <name val="Calibri"/>
      <sz val="11.0"/>
      <u val="single"/>
      <color indexed="12"/>
    </font>
    <font>
      <name val="Calibri"/>
      <sz val="11.0"/>
      <color indexed="12"/>
    </font>
    <font>
      <name val="Calibri"/>
      <sz val="11.0"/>
      <color indexed="12"/>
      <u val="single"/>
    </font>
    <font>
      <name val="Calibri"/>
      <sz val="11.0"/>
      <u val="single"/>
      <color indexed="12"/>
    </font>
  </fonts>
  <fills count="6">
    <fill>
      <patternFill patternType="none"/>
    </fill>
    <fill>
      <patternFill patternType="darkGray"/>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s>
  <borders count="8">
    <border>
      <left/>
      <right/>
      <top/>
      <bottom/>
      <diagonal/>
    </border>
    <border>
      <bottom style="thin"/>
    </border>
    <border>
      <left style="thin"/>
      <bottom style="thin"/>
    </border>
    <border>
      <left style="thin"/>
      <right style="thin"/>
      <bottom style="thin"/>
    </border>
    <border>
      <left style="thin"/>
      <right style="thin"/>
      <top style="thin"/>
      <bottom style="thin"/>
    </border>
    <border>
      <top style="thin"/>
    </border>
    <border>
      <top style="thin"/>
      <bottom style="thin"/>
    </border>
    <border>
      <left style="thin"/>
      <top style="thin"/>
      <bottom style="thin"/>
    </border>
  </borders>
  <cellStyleXfs count="1">
    <xf numFmtId="0" fontId="0" fillId="0" borderId="0"/>
  </cellStyleXfs>
  <cellXfs count="8">
    <xf numFmtId="0" fontId="0" fillId="0" borderId="0" xfId="0"/>
    <xf numFmtId="49" fontId="1" fillId="3" borderId="4" xfId="0" applyNumberFormat="true" applyFill="true" applyBorder="true" applyAlignment="true" applyFont="true">
      <alignment horizontal="center" wrapText="true"/>
    </xf>
    <xf numFmtId="49" fontId="2" fillId="5" borderId="4" xfId="0" applyNumberFormat="true" applyFill="true" applyBorder="true" applyAlignment="true" applyFont="true">
      <alignment horizontal="left" vertical="center" wrapText="true"/>
    </xf>
    <xf numFmtId="2" fontId="2" fillId="5" borderId="4" xfId="0" applyNumberFormat="true" applyFill="true" applyBorder="true" applyAlignment="true" applyFont="true">
      <alignment horizontal="left" vertical="center" wrapText="true"/>
    </xf>
    <xf numFmtId="1" fontId="2" fillId="5" borderId="4" xfId="0" applyNumberFormat="true" applyFill="true" applyBorder="true" applyAlignment="true" applyFont="true">
      <alignment horizontal="left" vertical="center" wrapText="true"/>
    </xf>
    <xf numFmtId="0" fontId="6" fillId="5" borderId="4" xfId="0" applyFill="true" applyBorder="true" applyAlignment="true" applyFont="true">
      <alignment horizontal="left" vertical="center"/>
    </xf>
    <xf numFmtId="0" fontId="3" fillId="5" borderId="4" xfId="0" applyFont="true" applyFill="true" applyBorder="true" applyAlignment="true">
      <alignment horizontal="left" vertical="center"/>
    </xf>
    <xf numFmtId="9" fontId="2" fillId="5" borderId="4" xfId="0" applyNumberFormat="true" applyFill="true" applyBorder="true" applyAlignment="true" applyFont="true">
      <alignment horizontal="lef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M101"/>
  <sheetViews>
    <sheetView workbookViewId="0" tabSelected="true"/>
  </sheetViews>
  <sheetFormatPr defaultRowHeight="15.0" baseColWidth="16"/>
  <sheetData>
    <row r="1" ht="30.0" customHeight="true">
      <c r="A1" s="1" t="s">
        <v>1</v>
      </c>
      <c r="B1" s="1" t="s">
        <v>2</v>
      </c>
      <c r="C1" s="1" t="s">
        <v>3</v>
      </c>
      <c r="D1" s="1" t="s">
        <v>4</v>
      </c>
      <c r="E1" s="1" t="s">
        <v>5</v>
      </c>
      <c r="F1" s="1" t="s">
        <v>6</v>
      </c>
      <c r="G1" s="1" t="s">
        <v>7</v>
      </c>
      <c r="H1" s="1" t="s">
        <v>8</v>
      </c>
      <c r="I1" s="1" t="s">
        <v>9</v>
      </c>
      <c r="J1" s="1" t="s">
        <v>10</v>
      </c>
      <c r="K1" s="1" t="s">
        <v>11</v>
      </c>
      <c r="L1" s="1" t="s">
        <v>12</v>
      </c>
      <c r="M1" s="1" t="s">
        <v>13</v>
      </c>
    </row>
    <row r="2" ht="12.75" customHeight="true">
      <c r="A2" s="5" t="str">
        <f>HYPERLINK("https://devcloud.cn-east-3.huaweicloud.com/projectman/scrum/78b2e310f37c4e28bfb3ef86179ac134/task/detail/713479689","713479689")</f>
        <v>713479689</v>
      </c>
      <c r="B2" s="2" t="s">
        <v>14</v>
      </c>
      <c r="C2" s="2"/>
      <c r="D2" s="2" t="s">
        <v>15</v>
      </c>
      <c r="E2" s="2" t="s">
        <v>16</v>
      </c>
      <c r="F2" s="2" t="s">
        <v>17</v>
      </c>
      <c r="G2" s="2" t="s">
        <v>18</v>
      </c>
      <c r="H2" s="2" t="s">
        <v>19</v>
      </c>
      <c r="I2" s="2" t="s">
        <v>20</v>
      </c>
      <c r="J2" s="3" t="n">
        <v>0.0</v>
      </c>
      <c r="K2" s="7" t="n">
        <v>0.0</v>
      </c>
      <c r="L2" s="2" t="s">
        <v>21</v>
      </c>
      <c r="M2" s="2" t="s">
        <v>22</v>
      </c>
    </row>
    <row r="3" ht="12.75" customHeight="true">
      <c r="A3" s="5" t="str">
        <f>HYPERLINK("https://devcloud.cn-east-3.huaweicloud.com/projectman/scrum/78b2e310f37c4e28bfb3ef86179ac134/task/detail/713478209","713478209")</f>
        <v>713478209</v>
      </c>
      <c r="B3" s="2" t="s">
        <v>23</v>
      </c>
      <c r="C3" s="2"/>
      <c r="D3" s="2" t="s">
        <v>15</v>
      </c>
      <c r="E3" s="2" t="s">
        <v>16</v>
      </c>
      <c r="F3" s="2" t="s">
        <v>17</v>
      </c>
      <c r="G3" s="2" t="s">
        <v>18</v>
      </c>
      <c r="H3" s="2" t="s">
        <v>19</v>
      </c>
      <c r="I3" s="2" t="s">
        <v>24</v>
      </c>
      <c r="J3" s="3" t="n">
        <v>0.0</v>
      </c>
      <c r="K3" s="7" t="n">
        <v>0.0</v>
      </c>
      <c r="L3" s="2" t="s">
        <v>21</v>
      </c>
      <c r="M3" s="2"/>
    </row>
    <row r="4" ht="12.75" customHeight="true">
      <c r="A4" s="5" t="str">
        <f>HYPERLINK("https://devcloud.cn-east-3.huaweicloud.com/projectman/scrum/78b2e310f37c4e28bfb3ef86179ac134/task/detail/713478189","713478189")</f>
        <v>713478189</v>
      </c>
      <c r="B4" s="2" t="s">
        <v>25</v>
      </c>
      <c r="C4" s="2"/>
      <c r="D4" s="2" t="s">
        <v>15</v>
      </c>
      <c r="E4" s="2" t="s">
        <v>16</v>
      </c>
      <c r="F4" s="2" t="s">
        <v>17</v>
      </c>
      <c r="G4" s="2" t="s">
        <v>18</v>
      </c>
      <c r="H4" s="2" t="s">
        <v>19</v>
      </c>
      <c r="I4" s="2" t="s">
        <v>26</v>
      </c>
      <c r="J4" s="3" t="n">
        <v>0.0</v>
      </c>
      <c r="K4" s="7" t="n">
        <v>0.0</v>
      </c>
      <c r="L4" s="2" t="s">
        <v>21</v>
      </c>
      <c r="M4" s="2" t="s">
        <v>27</v>
      </c>
    </row>
    <row r="5" ht="12.75" customHeight="true">
      <c r="A5" s="5" t="str">
        <f>HYPERLINK("https://devcloud.cn-east-3.huaweicloud.com/projectman/scrum/78b2e310f37c4e28bfb3ef86179ac134/task/detail/713464786","713464786")</f>
        <v>713464786</v>
      </c>
      <c r="B5" s="2" t="s">
        <v>28</v>
      </c>
      <c r="C5" s="2" t="s">
        <v>29</v>
      </c>
      <c r="D5" s="2" t="s">
        <v>30</v>
      </c>
      <c r="E5" s="2" t="s">
        <v>16</v>
      </c>
      <c r="F5" s="2" t="s">
        <v>31</v>
      </c>
      <c r="G5" s="2" t="s">
        <v>32</v>
      </c>
      <c r="H5" s="2" t="s">
        <v>19</v>
      </c>
      <c r="I5" s="2" t="s">
        <v>33</v>
      </c>
      <c r="J5" s="3" t="n">
        <v>0.0</v>
      </c>
      <c r="K5" s="7" t="n">
        <v>0.0</v>
      </c>
      <c r="L5" s="2" t="s">
        <v>21</v>
      </c>
      <c r="M5" s="2" t="s">
        <v>34</v>
      </c>
    </row>
    <row r="6" ht="12.75" customHeight="true">
      <c r="A6" s="5" t="str">
        <f>HYPERLINK("https://devcloud.cn-east-3.huaweicloud.com/projectman/scrum/78b2e310f37c4e28bfb3ef86179ac134/task/detail/713459128","713459128")</f>
        <v>713459128</v>
      </c>
      <c r="B6" s="2" t="s">
        <v>35</v>
      </c>
      <c r="C6" s="2" t="s">
        <v>36</v>
      </c>
      <c r="D6" s="2" t="s">
        <v>30</v>
      </c>
      <c r="E6" s="2" t="s">
        <v>16</v>
      </c>
      <c r="F6" s="2" t="s">
        <v>31</v>
      </c>
      <c r="G6" s="2" t="s">
        <v>32</v>
      </c>
      <c r="H6" s="2" t="s">
        <v>19</v>
      </c>
      <c r="I6" s="2" t="s">
        <v>37</v>
      </c>
      <c r="J6" s="3" t="n">
        <v>6.0</v>
      </c>
      <c r="K6" s="7" t="n">
        <v>0.0</v>
      </c>
      <c r="L6" s="2" t="s">
        <v>21</v>
      </c>
      <c r="M6" s="2" t="s">
        <v>38</v>
      </c>
    </row>
    <row r="7" ht="12.75" customHeight="true">
      <c r="A7" s="5" t="str">
        <f>HYPERLINK("https://devcloud.cn-east-3.huaweicloud.com/projectman/scrum/78b2e310f37c4e28bfb3ef86179ac134/task/detail/713459113","713459113")</f>
        <v>713459113</v>
      </c>
      <c r="B7" s="2" t="s">
        <v>39</v>
      </c>
      <c r="C7" s="2" t="s">
        <v>40</v>
      </c>
      <c r="D7" s="2" t="s">
        <v>30</v>
      </c>
      <c r="E7" s="2" t="s">
        <v>16</v>
      </c>
      <c r="F7" s="2" t="s">
        <v>31</v>
      </c>
      <c r="G7" s="2" t="s">
        <v>32</v>
      </c>
      <c r="H7" s="2" t="s">
        <v>19</v>
      </c>
      <c r="I7" s="2" t="s">
        <v>41</v>
      </c>
      <c r="J7" s="3" t="n">
        <v>6.0</v>
      </c>
      <c r="K7" s="7" t="n">
        <v>0.0</v>
      </c>
      <c r="L7" s="2" t="s">
        <v>21</v>
      </c>
      <c r="M7" s="2" t="s">
        <v>42</v>
      </c>
    </row>
    <row r="8" ht="12.75" customHeight="true">
      <c r="A8" s="5" t="str">
        <f>HYPERLINK("https://devcloud.cn-east-3.huaweicloud.com/projectman/scrum/78b2e310f37c4e28bfb3ef86179ac134/task/detail/713457428","713457428")</f>
        <v>713457428</v>
      </c>
      <c r="B8" s="2" t="s">
        <v>43</v>
      </c>
      <c r="C8" s="2" t="s">
        <v>44</v>
      </c>
      <c r="D8" s="2" t="s">
        <v>30</v>
      </c>
      <c r="E8" s="2" t="s">
        <v>16</v>
      </c>
      <c r="F8" s="2" t="s">
        <v>31</v>
      </c>
      <c r="G8" s="2" t="s">
        <v>32</v>
      </c>
      <c r="H8" s="2" t="s">
        <v>19</v>
      </c>
      <c r="I8" s="2" t="s">
        <v>45</v>
      </c>
      <c r="J8" s="3" t="n">
        <v>12.0</v>
      </c>
      <c r="K8" s="7" t="n">
        <v>0.0</v>
      </c>
      <c r="L8" s="2" t="s">
        <v>21</v>
      </c>
      <c r="M8" s="2" t="s">
        <v>46</v>
      </c>
    </row>
    <row r="9" ht="12.75" customHeight="true">
      <c r="A9" s="5" t="str">
        <f>HYPERLINK("https://devcloud.cn-east-3.huaweicloud.com/projectman/scrum/78b2e310f37c4e28bfb3ef86179ac134/task/detail/713457426","713457426")</f>
        <v>713457426</v>
      </c>
      <c r="B9" s="2" t="s">
        <v>47</v>
      </c>
      <c r="C9" s="2" t="s">
        <v>48</v>
      </c>
      <c r="D9" s="2" t="s">
        <v>30</v>
      </c>
      <c r="E9" s="2" t="s">
        <v>16</v>
      </c>
      <c r="F9" s="2" t="s">
        <v>31</v>
      </c>
      <c r="G9" s="2" t="s">
        <v>32</v>
      </c>
      <c r="H9" s="2" t="s">
        <v>19</v>
      </c>
      <c r="I9" s="2" t="s">
        <v>49</v>
      </c>
      <c r="J9" s="3" t="n">
        <v>18.0</v>
      </c>
      <c r="K9" s="7" t="n">
        <v>0.0</v>
      </c>
      <c r="L9" s="2" t="s">
        <v>21</v>
      </c>
      <c r="M9" s="2" t="s">
        <v>50</v>
      </c>
    </row>
    <row r="10" ht="12.75" customHeight="true">
      <c r="A10" s="5" t="str">
        <f>HYPERLINK("https://devcloud.cn-east-3.huaweicloud.com/projectman/scrum/78b2e310f37c4e28bfb3ef86179ac134/task/detail/713457425","713457425")</f>
        <v>713457425</v>
      </c>
      <c r="B10" s="2" t="s">
        <v>51</v>
      </c>
      <c r="C10" s="2" t="s">
        <v>52</v>
      </c>
      <c r="D10" s="2" t="s">
        <v>30</v>
      </c>
      <c r="E10" s="2" t="s">
        <v>16</v>
      </c>
      <c r="F10" s="2" t="s">
        <v>31</v>
      </c>
      <c r="G10" s="2" t="s">
        <v>32</v>
      </c>
      <c r="H10" s="2" t="s">
        <v>19</v>
      </c>
      <c r="I10" s="2" t="s">
        <v>53</v>
      </c>
      <c r="J10" s="3" t="n">
        <v>18.0</v>
      </c>
      <c r="K10" s="7" t="n">
        <v>0.0</v>
      </c>
      <c r="L10" s="2" t="s">
        <v>21</v>
      </c>
      <c r="M10" s="2" t="s">
        <v>54</v>
      </c>
    </row>
    <row r="11" ht="12.75" customHeight="true">
      <c r="A11" s="5" t="str">
        <f>HYPERLINK("https://devcloud.cn-east-3.huaweicloud.com/projectman/scrum/78b2e310f37c4e28bfb3ef86179ac134/task/detail/713457122","713457122")</f>
        <v>713457122</v>
      </c>
      <c r="B11" s="2" t="s">
        <v>55</v>
      </c>
      <c r="C11" s="2" t="s">
        <v>56</v>
      </c>
      <c r="D11" s="2" t="s">
        <v>30</v>
      </c>
      <c r="E11" s="2" t="s">
        <v>16</v>
      </c>
      <c r="F11" s="2" t="s">
        <v>31</v>
      </c>
      <c r="G11" s="2" t="s">
        <v>32</v>
      </c>
      <c r="H11" s="2" t="s">
        <v>19</v>
      </c>
      <c r="I11" s="2" t="s">
        <v>57</v>
      </c>
      <c r="J11" s="3" t="n">
        <v>0.0</v>
      </c>
      <c r="K11" s="7" t="n">
        <v>0.0</v>
      </c>
      <c r="L11" s="2" t="s">
        <v>21</v>
      </c>
      <c r="M11" s="2" t="s">
        <v>58</v>
      </c>
    </row>
    <row r="12" ht="12.75" customHeight="true">
      <c r="A12" s="5" t="str">
        <f>HYPERLINK("https://devcloud.cn-east-3.huaweicloud.com/projectman/scrum/78b2e310f37c4e28bfb3ef86179ac134/task/detail/713455128","713455128")</f>
        <v>713455128</v>
      </c>
      <c r="B12" s="2" t="s">
        <v>59</v>
      </c>
      <c r="C12" s="2" t="s">
        <v>60</v>
      </c>
      <c r="D12" s="2" t="s">
        <v>30</v>
      </c>
      <c r="E12" s="2" t="s">
        <v>16</v>
      </c>
      <c r="F12" s="2" t="s">
        <v>61</v>
      </c>
      <c r="G12" s="2" t="s">
        <v>62</v>
      </c>
      <c r="H12" s="2" t="s">
        <v>19</v>
      </c>
      <c r="I12" s="2" t="s">
        <v>63</v>
      </c>
      <c r="J12" s="3" t="n">
        <v>8.0</v>
      </c>
      <c r="K12" s="7" t="n">
        <v>0.0</v>
      </c>
      <c r="L12" s="2" t="s">
        <v>21</v>
      </c>
      <c r="M12" s="2" t="s">
        <v>64</v>
      </c>
    </row>
    <row r="13" ht="12.75" customHeight="true">
      <c r="A13" s="5" t="str">
        <f>HYPERLINK("https://devcloud.cn-east-3.huaweicloud.com/projectman/scrum/78b2e310f37c4e28bfb3ef86179ac134/task/detail/713453535","713453535")</f>
        <v>713453535</v>
      </c>
      <c r="B13" s="2" t="s">
        <v>65</v>
      </c>
      <c r="C13" s="2" t="s">
        <v>66</v>
      </c>
      <c r="D13" s="2" t="s">
        <v>30</v>
      </c>
      <c r="E13" s="2" t="s">
        <v>16</v>
      </c>
      <c r="F13" s="2" t="s">
        <v>61</v>
      </c>
      <c r="G13" s="2" t="s">
        <v>62</v>
      </c>
      <c r="H13" s="2" t="s">
        <v>19</v>
      </c>
      <c r="I13" s="2" t="s">
        <v>67</v>
      </c>
      <c r="J13" s="3" t="n">
        <v>8.0</v>
      </c>
      <c r="K13" s="7" t="n">
        <v>0.0</v>
      </c>
      <c r="L13" s="2" t="s">
        <v>21</v>
      </c>
      <c r="M13" s="2" t="s">
        <v>68</v>
      </c>
    </row>
    <row r="14" ht="12.75" customHeight="true">
      <c r="A14" s="5" t="str">
        <f>HYPERLINK("https://devcloud.cn-east-3.huaweicloud.com/projectman/scrum/78b2e310f37c4e28bfb3ef86179ac134/task/detail/713451561","713451561")</f>
        <v>713451561</v>
      </c>
      <c r="B14" s="2" t="s">
        <v>69</v>
      </c>
      <c r="C14" s="2" t="s">
        <v>70</v>
      </c>
      <c r="D14" s="2" t="s">
        <v>30</v>
      </c>
      <c r="E14" s="2" t="s">
        <v>16</v>
      </c>
      <c r="F14" s="2" t="s">
        <v>61</v>
      </c>
      <c r="G14" s="2" t="s">
        <v>62</v>
      </c>
      <c r="H14" s="2" t="s">
        <v>19</v>
      </c>
      <c r="I14" s="2" t="s">
        <v>71</v>
      </c>
      <c r="J14" s="3" t="n">
        <v>16.0</v>
      </c>
      <c r="K14" s="7" t="n">
        <v>0.0</v>
      </c>
      <c r="L14" s="2" t="s">
        <v>21</v>
      </c>
      <c r="M14" s="2" t="s">
        <v>72</v>
      </c>
    </row>
    <row r="15" ht="12.75" customHeight="true">
      <c r="A15" s="5" t="str">
        <f>HYPERLINK("https://devcloud.cn-east-3.huaweicloud.com/projectman/scrum/78b2e310f37c4e28bfb3ef86179ac134/task/detail/713437750","713437750")</f>
        <v>713437750</v>
      </c>
      <c r="B15" s="2" t="s">
        <v>73</v>
      </c>
      <c r="C15" s="2" t="s">
        <v>74</v>
      </c>
      <c r="D15" s="2" t="s">
        <v>30</v>
      </c>
      <c r="E15" s="2" t="s">
        <v>16</v>
      </c>
      <c r="F15" s="2" t="s">
        <v>61</v>
      </c>
      <c r="G15" s="2" t="s">
        <v>62</v>
      </c>
      <c r="H15" s="2" t="s">
        <v>19</v>
      </c>
      <c r="I15" s="2" t="s">
        <v>75</v>
      </c>
      <c r="J15" s="3" t="n">
        <v>16.0</v>
      </c>
      <c r="K15" s="7" t="n">
        <v>0.0</v>
      </c>
      <c r="L15" s="2" t="s">
        <v>21</v>
      </c>
      <c r="M15" s="2" t="s">
        <v>76</v>
      </c>
    </row>
    <row r="16" ht="12.75" customHeight="true">
      <c r="A16" s="5" t="str">
        <f>HYPERLINK("https://devcloud.cn-east-3.huaweicloud.com/projectman/scrum/78b2e310f37c4e28bfb3ef86179ac134/task/detail/713437336","713437336")</f>
        <v>713437336</v>
      </c>
      <c r="B16" s="2" t="s">
        <v>77</v>
      </c>
      <c r="C16" s="2" t="s">
        <v>78</v>
      </c>
      <c r="D16" s="2" t="s">
        <v>30</v>
      </c>
      <c r="E16" s="2" t="s">
        <v>16</v>
      </c>
      <c r="F16" s="2" t="s">
        <v>79</v>
      </c>
      <c r="G16" s="2" t="s">
        <v>80</v>
      </c>
      <c r="H16" s="2" t="s">
        <v>19</v>
      </c>
      <c r="I16" s="2" t="s">
        <v>81</v>
      </c>
      <c r="J16" s="3" t="n">
        <v>10.0</v>
      </c>
      <c r="K16" s="7" t="n">
        <v>0.0</v>
      </c>
      <c r="L16" s="2" t="s">
        <v>21</v>
      </c>
      <c r="M16" s="2" t="s">
        <v>82</v>
      </c>
    </row>
    <row r="17" ht="12.75" customHeight="true">
      <c r="A17" s="5" t="str">
        <f>HYPERLINK("https://devcloud.cn-east-3.huaweicloud.com/projectman/scrum/78b2e310f37c4e28bfb3ef86179ac134/task/detail/713437004","713437004")</f>
        <v>713437004</v>
      </c>
      <c r="B17" s="2" t="s">
        <v>83</v>
      </c>
      <c r="C17" s="2" t="s">
        <v>84</v>
      </c>
      <c r="D17" s="2" t="s">
        <v>30</v>
      </c>
      <c r="E17" s="2" t="s">
        <v>16</v>
      </c>
      <c r="F17" s="2" t="s">
        <v>31</v>
      </c>
      <c r="G17" s="2" t="s">
        <v>32</v>
      </c>
      <c r="H17" s="2" t="s">
        <v>19</v>
      </c>
      <c r="I17" s="2" t="s">
        <v>85</v>
      </c>
      <c r="J17" s="3" t="n">
        <v>6.0</v>
      </c>
      <c r="K17" s="7" t="n">
        <v>0.0</v>
      </c>
      <c r="L17" s="2" t="s">
        <v>21</v>
      </c>
      <c r="M17" s="2" t="s">
        <v>86</v>
      </c>
    </row>
    <row r="18" ht="12.75" customHeight="true">
      <c r="A18" s="5" t="str">
        <f>HYPERLINK("https://devcloud.cn-east-3.huaweicloud.com/projectman/scrum/78b2e310f37c4e28bfb3ef86179ac134/task/detail/713436307","713436307")</f>
        <v>713436307</v>
      </c>
      <c r="B18" s="2" t="s">
        <v>87</v>
      </c>
      <c r="C18" s="2" t="s">
        <v>88</v>
      </c>
      <c r="D18" s="2" t="s">
        <v>30</v>
      </c>
      <c r="E18" s="2" t="s">
        <v>16</v>
      </c>
      <c r="F18" s="2" t="s">
        <v>79</v>
      </c>
      <c r="G18" s="2" t="s">
        <v>80</v>
      </c>
      <c r="H18" s="2" t="s">
        <v>19</v>
      </c>
      <c r="I18" s="2" t="s">
        <v>89</v>
      </c>
      <c r="J18" s="3" t="n">
        <v>4.0</v>
      </c>
      <c r="K18" s="7" t="n">
        <v>0.0</v>
      </c>
      <c r="L18" s="2" t="s">
        <v>21</v>
      </c>
      <c r="M18" s="2" t="s">
        <v>90</v>
      </c>
    </row>
    <row r="19" ht="12.75" customHeight="true">
      <c r="A19" s="5" t="str">
        <f>HYPERLINK("https://devcloud.cn-east-3.huaweicloud.com/projectman/scrum/78b2e310f37c4e28bfb3ef86179ac134/task/detail/713432908","713432908")</f>
        <v>713432908</v>
      </c>
      <c r="B19" s="2" t="s">
        <v>91</v>
      </c>
      <c r="C19" s="2" t="s">
        <v>92</v>
      </c>
      <c r="D19" s="2" t="s">
        <v>30</v>
      </c>
      <c r="E19" s="2" t="s">
        <v>16</v>
      </c>
      <c r="F19" s="2" t="s">
        <v>17</v>
      </c>
      <c r="G19" s="2" t="s">
        <v>18</v>
      </c>
      <c r="H19" s="2" t="s">
        <v>19</v>
      </c>
      <c r="I19" s="2" t="s">
        <v>93</v>
      </c>
      <c r="J19" s="3" t="n">
        <v>12.0</v>
      </c>
      <c r="K19" s="7" t="n">
        <v>0.0</v>
      </c>
      <c r="L19" s="2" t="s">
        <v>21</v>
      </c>
      <c r="M19" s="2" t="s">
        <v>94</v>
      </c>
    </row>
    <row r="20" ht="12.75" customHeight="true">
      <c r="A20" s="5" t="str">
        <f>HYPERLINK("https://devcloud.cn-east-3.huaweicloud.com/projectman/scrum/78b2e310f37c4e28bfb3ef86179ac134/task/detail/713431094","713431094")</f>
        <v>713431094</v>
      </c>
      <c r="B20" s="2" t="s">
        <v>95</v>
      </c>
      <c r="C20" s="2" t="s">
        <v>96</v>
      </c>
      <c r="D20" s="2" t="s">
        <v>30</v>
      </c>
      <c r="E20" s="2" t="s">
        <v>16</v>
      </c>
      <c r="F20" s="2" t="s">
        <v>61</v>
      </c>
      <c r="G20" s="2" t="s">
        <v>62</v>
      </c>
      <c r="H20" s="2" t="s">
        <v>19</v>
      </c>
      <c r="I20" s="2" t="s">
        <v>97</v>
      </c>
      <c r="J20" s="3" t="n">
        <v>10.0</v>
      </c>
      <c r="K20" s="7" t="n">
        <v>0.0</v>
      </c>
      <c r="L20" s="2" t="s">
        <v>21</v>
      </c>
      <c r="M20" s="2" t="s">
        <v>98</v>
      </c>
    </row>
    <row r="21" ht="12.75" customHeight="true">
      <c r="A21" s="5" t="str">
        <f>HYPERLINK("https://devcloud.cn-east-3.huaweicloud.com/projectman/scrum/78b2e310f37c4e28bfb3ef86179ac134/task/detail/713431091","713431091")</f>
        <v>713431091</v>
      </c>
      <c r="B21" s="2" t="s">
        <v>99</v>
      </c>
      <c r="C21" s="2" t="s">
        <v>100</v>
      </c>
      <c r="D21" s="2" t="s">
        <v>30</v>
      </c>
      <c r="E21" s="2" t="s">
        <v>16</v>
      </c>
      <c r="F21" s="2" t="s">
        <v>61</v>
      </c>
      <c r="G21" s="2" t="s">
        <v>62</v>
      </c>
      <c r="H21" s="2" t="s">
        <v>19</v>
      </c>
      <c r="I21" s="2" t="s">
        <v>101</v>
      </c>
      <c r="J21" s="3" t="n">
        <v>30.0</v>
      </c>
      <c r="K21" s="7" t="n">
        <v>0.0</v>
      </c>
      <c r="L21" s="2" t="s">
        <v>21</v>
      </c>
      <c r="M21" s="2" t="s">
        <v>102</v>
      </c>
    </row>
    <row r="22" ht="12.75" customHeight="true">
      <c r="A22" s="5" t="str">
        <f>HYPERLINK("https://devcloud.cn-east-3.huaweicloud.com/projectman/scrum/78b2e310f37c4e28bfb3ef86179ac134/task/detail/713431088","713431088")</f>
        <v>713431088</v>
      </c>
      <c r="B22" s="2" t="s">
        <v>103</v>
      </c>
      <c r="C22" s="2" t="s">
        <v>104</v>
      </c>
      <c r="D22" s="2" t="s">
        <v>30</v>
      </c>
      <c r="E22" s="2" t="s">
        <v>16</v>
      </c>
      <c r="F22" s="2" t="s">
        <v>61</v>
      </c>
      <c r="G22" s="2" t="s">
        <v>62</v>
      </c>
      <c r="H22" s="2" t="s">
        <v>19</v>
      </c>
      <c r="I22" s="2" t="s">
        <v>105</v>
      </c>
      <c r="J22" s="3" t="n">
        <v>40.0</v>
      </c>
      <c r="K22" s="7" t="n">
        <v>0.0</v>
      </c>
      <c r="L22" s="2" t="s">
        <v>21</v>
      </c>
      <c r="M22" s="2" t="s">
        <v>106</v>
      </c>
    </row>
    <row r="23" ht="12.75" customHeight="true">
      <c r="A23" s="5" t="str">
        <f>HYPERLINK("https://devcloud.cn-east-3.huaweicloud.com/projectman/scrum/78b2e310f37c4e28bfb3ef86179ac134/task/detail/713427710","713427710")</f>
        <v>713427710</v>
      </c>
      <c r="B23" s="2" t="s">
        <v>107</v>
      </c>
      <c r="C23" s="2" t="s">
        <v>108</v>
      </c>
      <c r="D23" s="2" t="s">
        <v>30</v>
      </c>
      <c r="E23" s="2" t="s">
        <v>16</v>
      </c>
      <c r="F23" s="2" t="s">
        <v>109</v>
      </c>
      <c r="G23" s="2" t="s">
        <v>110</v>
      </c>
      <c r="H23" s="2" t="s">
        <v>19</v>
      </c>
      <c r="I23" s="2" t="s">
        <v>111</v>
      </c>
      <c r="J23" s="3" t="n">
        <v>6.0</v>
      </c>
      <c r="K23" s="7" t="n">
        <v>0.0</v>
      </c>
      <c r="L23" s="2" t="s">
        <v>21</v>
      </c>
      <c r="M23" s="2" t="s">
        <v>112</v>
      </c>
    </row>
    <row r="24" ht="12.75" customHeight="true">
      <c r="A24" s="5" t="str">
        <f>HYPERLINK("https://devcloud.cn-east-3.huaweicloud.com/projectman/scrum/78b2e310f37c4e28bfb3ef86179ac134/task/detail/713420332","713420332")</f>
        <v>713420332</v>
      </c>
      <c r="B24" s="2" t="s">
        <v>113</v>
      </c>
      <c r="C24" s="2" t="s">
        <v>114</v>
      </c>
      <c r="D24" s="2" t="s">
        <v>30</v>
      </c>
      <c r="E24" s="2" t="s">
        <v>16</v>
      </c>
      <c r="F24" s="2" t="s">
        <v>79</v>
      </c>
      <c r="G24" s="2" t="s">
        <v>80</v>
      </c>
      <c r="H24" s="2" t="s">
        <v>19</v>
      </c>
      <c r="I24" s="2" t="s">
        <v>115</v>
      </c>
      <c r="J24" s="3" t="n">
        <v>4.0</v>
      </c>
      <c r="K24" s="7" t="n">
        <v>0.0</v>
      </c>
      <c r="L24" s="2" t="s">
        <v>21</v>
      </c>
      <c r="M24" s="2" t="s">
        <v>116</v>
      </c>
    </row>
    <row r="25" ht="12.75" customHeight="true">
      <c r="A25" s="5" t="str">
        <f>HYPERLINK("https://devcloud.cn-east-3.huaweicloud.com/projectman/scrum/78b2e310f37c4e28bfb3ef86179ac134/task/detail/713417957","713417957")</f>
        <v>713417957</v>
      </c>
      <c r="B25" s="2" t="s">
        <v>117</v>
      </c>
      <c r="C25" s="2" t="s">
        <v>118</v>
      </c>
      <c r="D25" s="2" t="s">
        <v>30</v>
      </c>
      <c r="E25" s="2" t="s">
        <v>16</v>
      </c>
      <c r="F25" s="2" t="s">
        <v>79</v>
      </c>
      <c r="G25" s="2" t="s">
        <v>80</v>
      </c>
      <c r="H25" s="2" t="s">
        <v>19</v>
      </c>
      <c r="I25" s="2" t="s">
        <v>119</v>
      </c>
      <c r="J25" s="3" t="n">
        <v>4.0</v>
      </c>
      <c r="K25" s="7" t="n">
        <v>0.0</v>
      </c>
      <c r="L25" s="2" t="s">
        <v>21</v>
      </c>
      <c r="M25" s="2" t="s">
        <v>120</v>
      </c>
    </row>
    <row r="26" ht="12.75" customHeight="true">
      <c r="A26" s="5" t="str">
        <f>HYPERLINK("https://devcloud.cn-east-3.huaweicloud.com/projectman/scrum/78b2e310f37c4e28bfb3ef86179ac134/task/detail/713416336","713416336")</f>
        <v>713416336</v>
      </c>
      <c r="B26" s="2" t="s">
        <v>121</v>
      </c>
      <c r="C26" s="2" t="s">
        <v>122</v>
      </c>
      <c r="D26" s="2" t="s">
        <v>30</v>
      </c>
      <c r="E26" s="2" t="s">
        <v>16</v>
      </c>
      <c r="F26" s="2" t="s">
        <v>79</v>
      </c>
      <c r="G26" s="2" t="s">
        <v>80</v>
      </c>
      <c r="H26" s="2" t="s">
        <v>19</v>
      </c>
      <c r="I26" s="2" t="s">
        <v>123</v>
      </c>
      <c r="J26" s="3" t="n">
        <v>6.0</v>
      </c>
      <c r="K26" s="7" t="n">
        <v>0.0</v>
      </c>
      <c r="L26" s="2" t="s">
        <v>21</v>
      </c>
      <c r="M26" s="2" t="s">
        <v>124</v>
      </c>
    </row>
    <row r="27" ht="12.75" customHeight="true">
      <c r="A27" s="5" t="str">
        <f>HYPERLINK("https://devcloud.cn-east-3.huaweicloud.com/projectman/scrum/78b2e310f37c4e28bfb3ef86179ac134/task/detail/713416315","713416315")</f>
        <v>713416315</v>
      </c>
      <c r="B27" s="2" t="s">
        <v>125</v>
      </c>
      <c r="C27" s="2" t="s">
        <v>126</v>
      </c>
      <c r="D27" s="2" t="s">
        <v>30</v>
      </c>
      <c r="E27" s="2" t="s">
        <v>16</v>
      </c>
      <c r="F27" s="2" t="s">
        <v>79</v>
      </c>
      <c r="G27" s="2" t="s">
        <v>80</v>
      </c>
      <c r="H27" s="2" t="s">
        <v>19</v>
      </c>
      <c r="I27" s="2" t="s">
        <v>127</v>
      </c>
      <c r="J27" s="3" t="n">
        <v>4.0</v>
      </c>
      <c r="K27" s="7" t="n">
        <v>0.0</v>
      </c>
      <c r="L27" s="2" t="s">
        <v>21</v>
      </c>
      <c r="M27" s="2" t="s">
        <v>128</v>
      </c>
    </row>
    <row r="28" ht="12.75" customHeight="true">
      <c r="A28" s="5" t="str">
        <f>HYPERLINK("https://devcloud.cn-east-3.huaweicloud.com/projectman/scrum/78b2e310f37c4e28bfb3ef86179ac134/task/detail/713410782","713410782")</f>
        <v>713410782</v>
      </c>
      <c r="B28" s="2" t="s">
        <v>129</v>
      </c>
      <c r="C28" s="2" t="s">
        <v>130</v>
      </c>
      <c r="D28" s="2" t="s">
        <v>30</v>
      </c>
      <c r="E28" s="2" t="s">
        <v>16</v>
      </c>
      <c r="F28" s="2" t="s">
        <v>109</v>
      </c>
      <c r="G28" s="2" t="s">
        <v>110</v>
      </c>
      <c r="H28" s="2" t="s">
        <v>19</v>
      </c>
      <c r="I28" s="2" t="s">
        <v>131</v>
      </c>
      <c r="J28" s="3" t="n">
        <v>12.0</v>
      </c>
      <c r="K28" s="7" t="n">
        <v>0.0</v>
      </c>
      <c r="L28" s="2" t="s">
        <v>21</v>
      </c>
      <c r="M28" s="2" t="s">
        <v>132</v>
      </c>
    </row>
    <row r="29" ht="12.75" customHeight="true">
      <c r="A29" s="5" t="str">
        <f>HYPERLINK("https://devcloud.cn-east-3.huaweicloud.com/projectman/scrum/78b2e310f37c4e28bfb3ef86179ac134/task/detail/713410551","713410551")</f>
        <v>713410551</v>
      </c>
      <c r="B29" s="2" t="s">
        <v>133</v>
      </c>
      <c r="C29" s="2" t="s">
        <v>134</v>
      </c>
      <c r="D29" s="2" t="s">
        <v>30</v>
      </c>
      <c r="E29" s="2" t="s">
        <v>16</v>
      </c>
      <c r="F29" s="2" t="s">
        <v>79</v>
      </c>
      <c r="G29" s="2" t="s">
        <v>80</v>
      </c>
      <c r="H29" s="2" t="s">
        <v>19</v>
      </c>
      <c r="I29" s="2" t="s">
        <v>135</v>
      </c>
      <c r="J29" s="3" t="n">
        <v>0.0</v>
      </c>
      <c r="K29" s="7" t="n">
        <v>0.0</v>
      </c>
      <c r="L29" s="2" t="s">
        <v>21</v>
      </c>
      <c r="M29" s="2" t="s">
        <v>136</v>
      </c>
    </row>
    <row r="30" ht="12.75" customHeight="true">
      <c r="A30" s="5" t="str">
        <f>HYPERLINK("https://devcloud.cn-east-3.huaweicloud.com/projectman/scrum/78b2e310f37c4e28bfb3ef86179ac134/task/detail/713410347","713410347")</f>
        <v>713410347</v>
      </c>
      <c r="B30" s="2" t="s">
        <v>137</v>
      </c>
      <c r="C30" s="2" t="s">
        <v>138</v>
      </c>
      <c r="D30" s="2" t="s">
        <v>30</v>
      </c>
      <c r="E30" s="2" t="s">
        <v>16</v>
      </c>
      <c r="F30" s="2" t="s">
        <v>109</v>
      </c>
      <c r="G30" s="2" t="s">
        <v>110</v>
      </c>
      <c r="H30" s="2" t="s">
        <v>19</v>
      </c>
      <c r="I30" s="2" t="s">
        <v>139</v>
      </c>
      <c r="J30" s="3" t="n">
        <v>12.0</v>
      </c>
      <c r="K30" s="7" t="n">
        <v>0.0</v>
      </c>
      <c r="L30" s="2" t="s">
        <v>21</v>
      </c>
      <c r="M30" s="2" t="s">
        <v>140</v>
      </c>
    </row>
    <row r="31" ht="12.75" customHeight="true">
      <c r="A31" s="5" t="str">
        <f>HYPERLINK("https://devcloud.cn-east-3.huaweicloud.com/projectman/scrum/78b2e310f37c4e28bfb3ef86179ac134/task/detail/713409566","713409566")</f>
        <v>713409566</v>
      </c>
      <c r="B31" s="2" t="s">
        <v>141</v>
      </c>
      <c r="C31" s="2" t="s">
        <v>142</v>
      </c>
      <c r="D31" s="2" t="s">
        <v>30</v>
      </c>
      <c r="E31" s="2" t="s">
        <v>16</v>
      </c>
      <c r="F31" s="2" t="s">
        <v>109</v>
      </c>
      <c r="G31" s="2" t="s">
        <v>110</v>
      </c>
      <c r="H31" s="2" t="s">
        <v>19</v>
      </c>
      <c r="I31" s="2" t="s">
        <v>143</v>
      </c>
      <c r="J31" s="3" t="n">
        <v>4.0</v>
      </c>
      <c r="K31" s="7" t="n">
        <v>0.0</v>
      </c>
      <c r="L31" s="2" t="s">
        <v>21</v>
      </c>
      <c r="M31" s="2" t="s">
        <v>144</v>
      </c>
    </row>
    <row r="32" ht="12.75" customHeight="true">
      <c r="A32" s="5" t="str">
        <f>HYPERLINK("https://devcloud.cn-east-3.huaweicloud.com/projectman/scrum/78b2e310f37c4e28bfb3ef86179ac134/task/detail/713408928","713408928")</f>
        <v>713408928</v>
      </c>
      <c r="B32" s="2" t="s">
        <v>145</v>
      </c>
      <c r="C32" s="2" t="s">
        <v>146</v>
      </c>
      <c r="D32" s="2" t="s">
        <v>30</v>
      </c>
      <c r="E32" s="2" t="s">
        <v>16</v>
      </c>
      <c r="F32" s="2" t="s">
        <v>79</v>
      </c>
      <c r="G32" s="2" t="s">
        <v>80</v>
      </c>
      <c r="H32" s="2" t="s">
        <v>19</v>
      </c>
      <c r="I32" s="2" t="s">
        <v>147</v>
      </c>
      <c r="J32" s="3" t="n">
        <v>28.0</v>
      </c>
      <c r="K32" s="7" t="n">
        <v>0.0</v>
      </c>
      <c r="L32" s="2" t="s">
        <v>21</v>
      </c>
      <c r="M32" s="2" t="s">
        <v>148</v>
      </c>
    </row>
    <row r="33" ht="12.75" customHeight="true">
      <c r="A33" s="5" t="str">
        <f>HYPERLINK("https://devcloud.cn-east-3.huaweicloud.com/projectman/scrum/78b2e310f37c4e28bfb3ef86179ac134/task/detail/713408915","713408915")</f>
        <v>713408915</v>
      </c>
      <c r="B33" s="2" t="s">
        <v>149</v>
      </c>
      <c r="C33" s="2"/>
      <c r="D33" s="2" t="s">
        <v>15</v>
      </c>
      <c r="E33" s="2" t="s">
        <v>16</v>
      </c>
      <c r="F33" s="2" t="s">
        <v>79</v>
      </c>
      <c r="G33" s="2" t="s">
        <v>80</v>
      </c>
      <c r="H33" s="2" t="s">
        <v>19</v>
      </c>
      <c r="I33" s="2" t="s">
        <v>150</v>
      </c>
      <c r="J33" s="3" t="n">
        <v>0.0</v>
      </c>
      <c r="K33" s="7" t="n">
        <v>0.0</v>
      </c>
      <c r="L33" s="2" t="s">
        <v>21</v>
      </c>
      <c r="M33" s="2" t="s">
        <v>151</v>
      </c>
    </row>
    <row r="34" ht="12.75" customHeight="true">
      <c r="A34" s="5" t="str">
        <f>HYPERLINK("https://devcloud.cn-east-3.huaweicloud.com/projectman/scrum/78b2e310f37c4e28bfb3ef86179ac134/task/detail/713400410","713400410")</f>
        <v>713400410</v>
      </c>
      <c r="B34" s="2" t="s">
        <v>152</v>
      </c>
      <c r="C34" s="2" t="s">
        <v>153</v>
      </c>
      <c r="D34" s="2" t="s">
        <v>30</v>
      </c>
      <c r="E34" s="2" t="s">
        <v>16</v>
      </c>
      <c r="F34" s="2" t="s">
        <v>109</v>
      </c>
      <c r="G34" s="2" t="s">
        <v>110</v>
      </c>
      <c r="H34" s="2" t="s">
        <v>19</v>
      </c>
      <c r="I34" s="2" t="s">
        <v>154</v>
      </c>
      <c r="J34" s="3" t="n">
        <v>7.0</v>
      </c>
      <c r="K34" s="7" t="n">
        <v>0.0</v>
      </c>
      <c r="L34" s="2" t="s">
        <v>21</v>
      </c>
      <c r="M34" s="2" t="s">
        <v>155</v>
      </c>
    </row>
    <row r="35" ht="12.75" customHeight="true">
      <c r="A35" s="5" t="str">
        <f>HYPERLINK("https://devcloud.cn-east-3.huaweicloud.com/projectman/scrum/78b2e310f37c4e28bfb3ef86179ac134/task/detail/713400407","713400407")</f>
        <v>713400407</v>
      </c>
      <c r="B35" s="2" t="s">
        <v>156</v>
      </c>
      <c r="C35" s="2" t="s">
        <v>157</v>
      </c>
      <c r="D35" s="2" t="s">
        <v>30</v>
      </c>
      <c r="E35" s="2" t="s">
        <v>16</v>
      </c>
      <c r="F35" s="2" t="s">
        <v>109</v>
      </c>
      <c r="G35" s="2" t="s">
        <v>110</v>
      </c>
      <c r="H35" s="2" t="s">
        <v>19</v>
      </c>
      <c r="I35" s="2" t="s">
        <v>158</v>
      </c>
      <c r="J35" s="3" t="n">
        <v>8.0</v>
      </c>
      <c r="K35" s="7" t="n">
        <v>0.0</v>
      </c>
      <c r="L35" s="2" t="s">
        <v>21</v>
      </c>
      <c r="M35" s="2" t="s">
        <v>159</v>
      </c>
    </row>
    <row r="36" ht="12.75" customHeight="true">
      <c r="A36" s="5" t="str">
        <f>HYPERLINK("https://devcloud.cn-east-3.huaweicloud.com/projectman/scrum/78b2e310f37c4e28bfb3ef86179ac134/task/detail/713394498","713394498")</f>
        <v>713394498</v>
      </c>
      <c r="B36" s="2" t="s">
        <v>160</v>
      </c>
      <c r="C36" s="2" t="s">
        <v>161</v>
      </c>
      <c r="D36" s="2" t="s">
        <v>30</v>
      </c>
      <c r="E36" s="2" t="s">
        <v>162</v>
      </c>
      <c r="F36" s="2" t="s">
        <v>163</v>
      </c>
      <c r="G36" s="2" t="s">
        <v>164</v>
      </c>
      <c r="H36" s="2" t="s">
        <v>19</v>
      </c>
      <c r="I36" s="2" t="s">
        <v>165</v>
      </c>
      <c r="J36" s="3" t="n">
        <v>1.0</v>
      </c>
      <c r="K36" s="7" t="n">
        <v>0.0</v>
      </c>
      <c r="L36" s="2" t="s">
        <v>21</v>
      </c>
      <c r="M36" s="2" t="s">
        <v>166</v>
      </c>
    </row>
    <row r="37" ht="12.75" customHeight="true">
      <c r="A37" s="5" t="str">
        <f>HYPERLINK("https://devcloud.cn-east-3.huaweicloud.com/projectman/scrum/78b2e310f37c4e28bfb3ef86179ac134/task/detail/713382268","713382268")</f>
        <v>713382268</v>
      </c>
      <c r="B37" s="2" t="s">
        <v>167</v>
      </c>
      <c r="C37" s="2" t="s">
        <v>168</v>
      </c>
      <c r="D37" s="2" t="s">
        <v>30</v>
      </c>
      <c r="E37" s="2" t="s">
        <v>16</v>
      </c>
      <c r="F37" s="2" t="s">
        <v>169</v>
      </c>
      <c r="G37" s="2" t="s">
        <v>170</v>
      </c>
      <c r="H37" s="2" t="s">
        <v>19</v>
      </c>
      <c r="I37" s="2" t="s">
        <v>171</v>
      </c>
      <c r="J37" s="3" t="n">
        <v>14.0</v>
      </c>
      <c r="K37" s="7" t="n">
        <v>0.0</v>
      </c>
      <c r="L37" s="2" t="s">
        <v>21</v>
      </c>
      <c r="M37" s="2" t="s">
        <v>172</v>
      </c>
    </row>
    <row r="38" ht="12.75" customHeight="true">
      <c r="A38" s="5" t="str">
        <f>HYPERLINK("https://devcloud.cn-east-3.huaweicloud.com/projectman/scrum/78b2e310f37c4e28bfb3ef86179ac134/task/detail/713381668","713381668")</f>
        <v>713381668</v>
      </c>
      <c r="B38" s="2" t="s">
        <v>173</v>
      </c>
      <c r="C38" s="2" t="s">
        <v>174</v>
      </c>
      <c r="D38" s="2" t="s">
        <v>30</v>
      </c>
      <c r="E38" s="2" t="s">
        <v>16</v>
      </c>
      <c r="F38" s="2" t="s">
        <v>169</v>
      </c>
      <c r="G38" s="2" t="s">
        <v>170</v>
      </c>
      <c r="H38" s="2" t="s">
        <v>19</v>
      </c>
      <c r="I38" s="2" t="s">
        <v>175</v>
      </c>
      <c r="J38" s="3" t="n">
        <v>10.0</v>
      </c>
      <c r="K38" s="7" t="n">
        <v>0.0</v>
      </c>
      <c r="L38" s="2" t="s">
        <v>21</v>
      </c>
      <c r="M38" s="2" t="s">
        <v>176</v>
      </c>
    </row>
    <row r="39" ht="12.75" customHeight="true">
      <c r="A39" s="5" t="str">
        <f>HYPERLINK("https://devcloud.cn-east-3.huaweicloud.com/projectman/scrum/78b2e310f37c4e28bfb3ef86179ac134/task/detail/713381608","713381608")</f>
        <v>713381608</v>
      </c>
      <c r="B39" s="2" t="s">
        <v>177</v>
      </c>
      <c r="C39" s="2" t="s">
        <v>178</v>
      </c>
      <c r="D39" s="2" t="s">
        <v>30</v>
      </c>
      <c r="E39" s="2" t="s">
        <v>16</v>
      </c>
      <c r="F39" s="2" t="s">
        <v>169</v>
      </c>
      <c r="G39" s="2" t="s">
        <v>170</v>
      </c>
      <c r="H39" s="2" t="s">
        <v>19</v>
      </c>
      <c r="I39" s="2" t="s">
        <v>179</v>
      </c>
      <c r="J39" s="3" t="n">
        <v>10.0</v>
      </c>
      <c r="K39" s="7" t="n">
        <v>0.0</v>
      </c>
      <c r="L39" s="2" t="s">
        <v>21</v>
      </c>
      <c r="M39" s="2" t="s">
        <v>180</v>
      </c>
    </row>
    <row r="40" ht="12.75" customHeight="true">
      <c r="A40" s="5" t="str">
        <f>HYPERLINK("https://devcloud.cn-east-3.huaweicloud.com/projectman/scrum/78b2e310f37c4e28bfb3ef86179ac134/task/detail/713379589","713379589")</f>
        <v>713379589</v>
      </c>
      <c r="B40" s="2" t="s">
        <v>181</v>
      </c>
      <c r="C40" s="2" t="s">
        <v>182</v>
      </c>
      <c r="D40" s="2" t="s">
        <v>30</v>
      </c>
      <c r="E40" s="2" t="s">
        <v>16</v>
      </c>
      <c r="F40" s="2" t="s">
        <v>169</v>
      </c>
      <c r="G40" s="2" t="s">
        <v>170</v>
      </c>
      <c r="H40" s="2" t="s">
        <v>19</v>
      </c>
      <c r="I40" s="2" t="s">
        <v>183</v>
      </c>
      <c r="J40" s="3" t="n">
        <v>2.0</v>
      </c>
      <c r="K40" s="7" t="n">
        <v>0.0</v>
      </c>
      <c r="L40" s="2" t="s">
        <v>21</v>
      </c>
      <c r="M40" s="2" t="s">
        <v>184</v>
      </c>
    </row>
    <row r="41" ht="12.75" customHeight="true">
      <c r="A41" s="5" t="str">
        <f>HYPERLINK("https://devcloud.cn-east-3.huaweicloud.com/projectman/scrum/78b2e310f37c4e28bfb3ef86179ac134/task/detail/713375660","713375660")</f>
        <v>713375660</v>
      </c>
      <c r="B41" s="2" t="s">
        <v>185</v>
      </c>
      <c r="C41" s="2" t="s">
        <v>186</v>
      </c>
      <c r="D41" s="2" t="s">
        <v>30</v>
      </c>
      <c r="E41" s="2" t="s">
        <v>16</v>
      </c>
      <c r="F41" s="2" t="s">
        <v>109</v>
      </c>
      <c r="G41" s="2" t="s">
        <v>110</v>
      </c>
      <c r="H41" s="2" t="s">
        <v>19</v>
      </c>
      <c r="I41" s="2" t="s">
        <v>187</v>
      </c>
      <c r="J41" s="3" t="n">
        <v>32.0</v>
      </c>
      <c r="K41" s="7" t="n">
        <v>0.0</v>
      </c>
      <c r="L41" s="2" t="s">
        <v>21</v>
      </c>
      <c r="M41" s="2" t="s">
        <v>188</v>
      </c>
    </row>
    <row r="42" ht="12.75" customHeight="true">
      <c r="A42" s="5" t="str">
        <f>HYPERLINK("https://devcloud.cn-east-3.huaweicloud.com/projectman/scrum/78b2e310f37c4e28bfb3ef86179ac134/task/detail/713373694","713373694")</f>
        <v>713373694</v>
      </c>
      <c r="B42" s="2" t="s">
        <v>189</v>
      </c>
      <c r="C42" s="2" t="s">
        <v>190</v>
      </c>
      <c r="D42" s="2" t="s">
        <v>30</v>
      </c>
      <c r="E42" s="2" t="s">
        <v>16</v>
      </c>
      <c r="F42" s="2" t="s">
        <v>169</v>
      </c>
      <c r="G42" s="2" t="s">
        <v>170</v>
      </c>
      <c r="H42" s="2" t="s">
        <v>191</v>
      </c>
      <c r="I42" s="2" t="s">
        <v>192</v>
      </c>
      <c r="J42" s="3" t="n">
        <v>28.0</v>
      </c>
      <c r="K42" s="7" t="n">
        <v>0.0</v>
      </c>
      <c r="L42" s="2" t="s">
        <v>21</v>
      </c>
      <c r="M42" s="2" t="s">
        <v>193</v>
      </c>
    </row>
    <row r="43" ht="12.75" customHeight="true">
      <c r="A43" s="5" t="str">
        <f>HYPERLINK("https://devcloud.cn-east-3.huaweicloud.com/projectman/scrum/78b2e310f37c4e28bfb3ef86179ac134/task/detail/713372301","713372301")</f>
        <v>713372301</v>
      </c>
      <c r="B43" s="2" t="s">
        <v>194</v>
      </c>
      <c r="C43" s="2" t="s">
        <v>195</v>
      </c>
      <c r="D43" s="2" t="s">
        <v>30</v>
      </c>
      <c r="E43" s="2" t="s">
        <v>16</v>
      </c>
      <c r="F43" s="2" t="s">
        <v>163</v>
      </c>
      <c r="G43" s="2" t="s">
        <v>196</v>
      </c>
      <c r="H43" s="2" t="s">
        <v>19</v>
      </c>
      <c r="I43" s="2" t="s">
        <v>197</v>
      </c>
      <c r="J43" s="3" t="n">
        <v>1.0</v>
      </c>
      <c r="K43" s="7" t="n">
        <v>0.0</v>
      </c>
      <c r="L43" s="2" t="s">
        <v>21</v>
      </c>
      <c r="M43" s="2" t="s">
        <v>198</v>
      </c>
    </row>
    <row r="44" ht="12.75" customHeight="true">
      <c r="A44" s="5" t="str">
        <f>HYPERLINK("https://devcloud.cn-east-3.huaweicloud.com/projectman/scrum/78b2e310f37c4e28bfb3ef86179ac134/task/detail/713372224","713372224")</f>
        <v>713372224</v>
      </c>
      <c r="B44" s="2" t="s">
        <v>199</v>
      </c>
      <c r="C44" s="2" t="s">
        <v>200</v>
      </c>
      <c r="D44" s="2" t="s">
        <v>30</v>
      </c>
      <c r="E44" s="2" t="s">
        <v>162</v>
      </c>
      <c r="F44" s="2" t="s">
        <v>163</v>
      </c>
      <c r="G44" s="2" t="s">
        <v>196</v>
      </c>
      <c r="H44" s="2" t="s">
        <v>19</v>
      </c>
      <c r="I44" s="2" t="s">
        <v>201</v>
      </c>
      <c r="J44" s="3" t="n">
        <v>4.0</v>
      </c>
      <c r="K44" s="7" t="n">
        <v>0.0</v>
      </c>
      <c r="L44" s="2" t="s">
        <v>21</v>
      </c>
      <c r="M44" s="2" t="s">
        <v>202</v>
      </c>
    </row>
    <row r="45" ht="12.75" customHeight="true">
      <c r="A45" s="5" t="str">
        <f>HYPERLINK("https://devcloud.cn-east-3.huaweicloud.com/projectman/scrum/78b2e310f37c4e28bfb3ef86179ac134/task/detail/713372043","713372043")</f>
        <v>713372043</v>
      </c>
      <c r="B45" s="2" t="s">
        <v>203</v>
      </c>
      <c r="C45" s="2" t="s">
        <v>204</v>
      </c>
      <c r="D45" s="2" t="s">
        <v>30</v>
      </c>
      <c r="E45" s="2" t="s">
        <v>162</v>
      </c>
      <c r="F45" s="2" t="s">
        <v>163</v>
      </c>
      <c r="G45" s="2" t="s">
        <v>196</v>
      </c>
      <c r="H45" s="2" t="s">
        <v>19</v>
      </c>
      <c r="I45" s="2" t="s">
        <v>205</v>
      </c>
      <c r="J45" s="3" t="n">
        <v>10.0</v>
      </c>
      <c r="K45" s="7" t="n">
        <v>0.0</v>
      </c>
      <c r="L45" s="2" t="s">
        <v>21</v>
      </c>
      <c r="M45" s="2" t="s">
        <v>206</v>
      </c>
    </row>
    <row r="46" ht="12.75" customHeight="true">
      <c r="A46" s="5" t="str">
        <f>HYPERLINK("https://devcloud.cn-east-3.huaweicloud.com/projectman/scrum/78b2e310f37c4e28bfb3ef86179ac134/task/detail/713372029","713372029")</f>
        <v>713372029</v>
      </c>
      <c r="B46" s="2" t="s">
        <v>207</v>
      </c>
      <c r="C46" s="2" t="s">
        <v>208</v>
      </c>
      <c r="D46" s="2" t="s">
        <v>30</v>
      </c>
      <c r="E46" s="2" t="s">
        <v>162</v>
      </c>
      <c r="F46" s="2" t="s">
        <v>163</v>
      </c>
      <c r="G46" s="2" t="s">
        <v>196</v>
      </c>
      <c r="H46" s="2" t="s">
        <v>19</v>
      </c>
      <c r="I46" s="2" t="s">
        <v>209</v>
      </c>
      <c r="J46" s="3" t="n">
        <v>16.0</v>
      </c>
      <c r="K46" s="7" t="n">
        <v>0.0</v>
      </c>
      <c r="L46" s="2" t="s">
        <v>21</v>
      </c>
      <c r="M46" s="2" t="s">
        <v>210</v>
      </c>
    </row>
    <row r="47" ht="12.75" customHeight="true">
      <c r="A47" s="5" t="str">
        <f>HYPERLINK("https://devcloud.cn-east-3.huaweicloud.com/projectman/scrum/78b2e310f37c4e28bfb3ef86179ac134/task/detail/713371937","713371937")</f>
        <v>713371937</v>
      </c>
      <c r="B47" s="2" t="s">
        <v>211</v>
      </c>
      <c r="C47" s="2" t="s">
        <v>212</v>
      </c>
      <c r="D47" s="2" t="s">
        <v>30</v>
      </c>
      <c r="E47" s="2" t="s">
        <v>162</v>
      </c>
      <c r="F47" s="2" t="s">
        <v>163</v>
      </c>
      <c r="G47" s="2" t="s">
        <v>196</v>
      </c>
      <c r="H47" s="2" t="s">
        <v>19</v>
      </c>
      <c r="I47" s="2" t="s">
        <v>213</v>
      </c>
      <c r="J47" s="3" t="n">
        <v>5.0</v>
      </c>
      <c r="K47" s="7" t="n">
        <v>0.0</v>
      </c>
      <c r="L47" s="2" t="s">
        <v>21</v>
      </c>
      <c r="M47" s="2" t="s">
        <v>214</v>
      </c>
    </row>
    <row r="48" ht="12.75" customHeight="true">
      <c r="A48" s="5" t="str">
        <f>HYPERLINK("https://devcloud.cn-east-3.huaweicloud.com/projectman/scrum/78b2e310f37c4e28bfb3ef86179ac134/task/detail/713367615","713367615")</f>
        <v>713367615</v>
      </c>
      <c r="B48" s="2" t="s">
        <v>215</v>
      </c>
      <c r="C48" s="2" t="s">
        <v>216</v>
      </c>
      <c r="D48" s="2" t="s">
        <v>30</v>
      </c>
      <c r="E48" s="2" t="s">
        <v>162</v>
      </c>
      <c r="F48" s="2" t="s">
        <v>163</v>
      </c>
      <c r="G48" s="2" t="s">
        <v>196</v>
      </c>
      <c r="H48" s="2" t="s">
        <v>191</v>
      </c>
      <c r="I48" s="2" t="s">
        <v>217</v>
      </c>
      <c r="J48" s="3" t="n">
        <v>4.0</v>
      </c>
      <c r="K48" s="7" t="n">
        <v>0.0</v>
      </c>
      <c r="L48" s="2" t="s">
        <v>21</v>
      </c>
      <c r="M48" s="2" t="s">
        <v>218</v>
      </c>
    </row>
    <row r="49" ht="12.75" customHeight="true">
      <c r="A49" s="5" t="str">
        <f>HYPERLINK("https://devcloud.cn-east-3.huaweicloud.com/projectman/scrum/78b2e310f37c4e28bfb3ef86179ac134/task/detail/713367219","713367219")</f>
        <v>713367219</v>
      </c>
      <c r="B49" s="2" t="s">
        <v>219</v>
      </c>
      <c r="C49" s="2" t="s">
        <v>220</v>
      </c>
      <c r="D49" s="2" t="s">
        <v>30</v>
      </c>
      <c r="E49" s="2" t="s">
        <v>16</v>
      </c>
      <c r="F49" s="2" t="s">
        <v>169</v>
      </c>
      <c r="G49" s="2" t="s">
        <v>170</v>
      </c>
      <c r="H49" s="2" t="s">
        <v>191</v>
      </c>
      <c r="I49" s="2" t="s">
        <v>221</v>
      </c>
      <c r="J49" s="3" t="n">
        <v>18.0</v>
      </c>
      <c r="K49" s="7" t="n">
        <v>0.0</v>
      </c>
      <c r="L49" s="2" t="s">
        <v>21</v>
      </c>
      <c r="M49" s="2" t="s">
        <v>222</v>
      </c>
    </row>
    <row r="50" ht="12.75" customHeight="true">
      <c r="A50" s="5" t="str">
        <f>HYPERLINK("https://devcloud.cn-east-3.huaweicloud.com/projectman/scrum/78b2e310f37c4e28bfb3ef86179ac134/task/detail/713365013","713365013")</f>
        <v>713365013</v>
      </c>
      <c r="B50" s="2" t="s">
        <v>223</v>
      </c>
      <c r="C50" s="2" t="s">
        <v>224</v>
      </c>
      <c r="D50" s="2" t="s">
        <v>30</v>
      </c>
      <c r="E50" s="2" t="s">
        <v>16</v>
      </c>
      <c r="F50" s="2" t="s">
        <v>109</v>
      </c>
      <c r="G50" s="2" t="s">
        <v>110</v>
      </c>
      <c r="H50" s="2" t="s">
        <v>19</v>
      </c>
      <c r="I50" s="2" t="s">
        <v>225</v>
      </c>
      <c r="J50" s="3" t="n">
        <v>14.0</v>
      </c>
      <c r="K50" s="7" t="n">
        <v>0.0</v>
      </c>
      <c r="L50" s="2" t="s">
        <v>21</v>
      </c>
      <c r="M50" s="2" t="s">
        <v>226</v>
      </c>
    </row>
    <row r="51" ht="12.75" customHeight="true">
      <c r="A51" s="5" t="str">
        <f>HYPERLINK("https://devcloud.cn-east-3.huaweicloud.com/projectman/scrum/78b2e310f37c4e28bfb3ef86179ac134/task/detail/713365009","713365009")</f>
        <v>713365009</v>
      </c>
      <c r="B51" s="2" t="s">
        <v>227</v>
      </c>
      <c r="C51" s="2" t="s">
        <v>228</v>
      </c>
      <c r="D51" s="2" t="s">
        <v>30</v>
      </c>
      <c r="E51" s="2" t="s">
        <v>162</v>
      </c>
      <c r="F51" s="2" t="s">
        <v>163</v>
      </c>
      <c r="G51" s="2" t="s">
        <v>196</v>
      </c>
      <c r="H51" s="2" t="s">
        <v>191</v>
      </c>
      <c r="I51" s="2" t="s">
        <v>229</v>
      </c>
      <c r="J51" s="3" t="n">
        <v>8.0</v>
      </c>
      <c r="K51" s="7" t="n">
        <v>0.0</v>
      </c>
      <c r="L51" s="2" t="s">
        <v>21</v>
      </c>
      <c r="M51" s="2" t="s">
        <v>230</v>
      </c>
    </row>
    <row r="52" ht="12.75" customHeight="true">
      <c r="A52" s="5" t="str">
        <f>HYPERLINK("https://devcloud.cn-east-3.huaweicloud.com/projectman/scrum/78b2e310f37c4e28bfb3ef86179ac134/task/detail/713365002","713365002")</f>
        <v>713365002</v>
      </c>
      <c r="B52" s="2" t="s">
        <v>231</v>
      </c>
      <c r="C52" s="2" t="s">
        <v>232</v>
      </c>
      <c r="D52" s="2" t="s">
        <v>30</v>
      </c>
      <c r="E52" s="2" t="s">
        <v>16</v>
      </c>
      <c r="F52" s="2" t="s">
        <v>109</v>
      </c>
      <c r="G52" s="2" t="s">
        <v>110</v>
      </c>
      <c r="H52" s="2" t="s">
        <v>19</v>
      </c>
      <c r="I52" s="2" t="s">
        <v>233</v>
      </c>
      <c r="J52" s="3" t="n">
        <v>12.0</v>
      </c>
      <c r="K52" s="7" t="n">
        <v>0.0</v>
      </c>
      <c r="L52" s="2" t="s">
        <v>21</v>
      </c>
      <c r="M52" s="2" t="s">
        <v>234</v>
      </c>
    </row>
    <row r="53" ht="12.75" customHeight="true">
      <c r="A53" s="5" t="str">
        <f>HYPERLINK("https://devcloud.cn-east-3.huaweicloud.com/projectman/scrum/78b2e310f37c4e28bfb3ef86179ac134/task/detail/713364893","713364893")</f>
        <v>713364893</v>
      </c>
      <c r="B53" s="2" t="s">
        <v>235</v>
      </c>
      <c r="C53" s="2" t="s">
        <v>236</v>
      </c>
      <c r="D53" s="2" t="s">
        <v>30</v>
      </c>
      <c r="E53" s="2" t="s">
        <v>16</v>
      </c>
      <c r="F53" s="2" t="s">
        <v>109</v>
      </c>
      <c r="G53" s="2" t="s">
        <v>110</v>
      </c>
      <c r="H53" s="2" t="s">
        <v>19</v>
      </c>
      <c r="I53" s="2" t="s">
        <v>237</v>
      </c>
      <c r="J53" s="3" t="n">
        <v>20.0</v>
      </c>
      <c r="K53" s="7" t="n">
        <v>0.0</v>
      </c>
      <c r="L53" s="2" t="s">
        <v>21</v>
      </c>
      <c r="M53" s="2" t="s">
        <v>238</v>
      </c>
    </row>
    <row r="54" ht="12.75" customHeight="true">
      <c r="A54" s="5" t="str">
        <f>HYPERLINK("https://devcloud.cn-east-3.huaweicloud.com/projectman/scrum/78b2e310f37c4e28bfb3ef86179ac134/task/detail/713363284","713363284")</f>
        <v>713363284</v>
      </c>
      <c r="B54" s="2" t="s">
        <v>239</v>
      </c>
      <c r="C54" s="2" t="s">
        <v>240</v>
      </c>
      <c r="D54" s="2" t="s">
        <v>30</v>
      </c>
      <c r="E54" s="2" t="s">
        <v>162</v>
      </c>
      <c r="F54" s="2" t="s">
        <v>163</v>
      </c>
      <c r="G54" s="2" t="s">
        <v>196</v>
      </c>
      <c r="H54" s="2" t="s">
        <v>191</v>
      </c>
      <c r="I54" s="2" t="s">
        <v>241</v>
      </c>
      <c r="J54" s="3" t="n">
        <v>6.0</v>
      </c>
      <c r="K54" s="7" t="n">
        <v>0.0</v>
      </c>
      <c r="L54" s="2" t="s">
        <v>21</v>
      </c>
      <c r="M54" s="2" t="s">
        <v>242</v>
      </c>
    </row>
    <row r="55" ht="12.75" customHeight="true">
      <c r="A55" s="5" t="str">
        <f>HYPERLINK("https://devcloud.cn-east-3.huaweicloud.com/projectman/scrum/78b2e310f37c4e28bfb3ef86179ac134/task/detail/713352297","713352297")</f>
        <v>713352297</v>
      </c>
      <c r="B55" s="2" t="s">
        <v>243</v>
      </c>
      <c r="C55" s="2" t="s">
        <v>244</v>
      </c>
      <c r="D55" s="2" t="s">
        <v>30</v>
      </c>
      <c r="E55" s="2" t="s">
        <v>162</v>
      </c>
      <c r="F55" s="2" t="s">
        <v>163</v>
      </c>
      <c r="G55" s="2" t="s">
        <v>196</v>
      </c>
      <c r="H55" s="2" t="s">
        <v>191</v>
      </c>
      <c r="I55" s="2" t="s">
        <v>245</v>
      </c>
      <c r="J55" s="3" t="n">
        <v>14.0</v>
      </c>
      <c r="K55" s="7" t="n">
        <v>0.0</v>
      </c>
      <c r="L55" s="2" t="s">
        <v>21</v>
      </c>
      <c r="M55" s="2" t="s">
        <v>246</v>
      </c>
    </row>
    <row r="56" ht="12.75" customHeight="true">
      <c r="A56" s="5" t="str">
        <f>HYPERLINK("https://devcloud.cn-east-3.huaweicloud.com/projectman/scrum/78b2e310f37c4e28bfb3ef86179ac134/task/detail/713352294","713352294")</f>
        <v>713352294</v>
      </c>
      <c r="B56" s="2" t="s">
        <v>247</v>
      </c>
      <c r="C56" s="2" t="s">
        <v>248</v>
      </c>
      <c r="D56" s="2" t="s">
        <v>30</v>
      </c>
      <c r="E56" s="2" t="s">
        <v>16</v>
      </c>
      <c r="F56" s="2" t="s">
        <v>109</v>
      </c>
      <c r="G56" s="2" t="s">
        <v>110</v>
      </c>
      <c r="H56" s="2" t="s">
        <v>19</v>
      </c>
      <c r="I56" s="2" t="s">
        <v>249</v>
      </c>
      <c r="J56" s="3" t="n">
        <v>8.0</v>
      </c>
      <c r="K56" s="7" t="n">
        <v>0.0</v>
      </c>
      <c r="L56" s="2" t="s">
        <v>21</v>
      </c>
      <c r="M56" s="2" t="s">
        <v>250</v>
      </c>
    </row>
    <row r="57" ht="12.75" customHeight="true">
      <c r="A57" s="5" t="str">
        <f>HYPERLINK("https://devcloud.cn-east-3.huaweicloud.com/projectman/scrum/78b2e310f37c4e28bfb3ef86179ac134/task/detail/713352291","713352291")</f>
        <v>713352291</v>
      </c>
      <c r="B57" s="2" t="s">
        <v>251</v>
      </c>
      <c r="C57" s="2" t="s">
        <v>252</v>
      </c>
      <c r="D57" s="2" t="s">
        <v>30</v>
      </c>
      <c r="E57" s="2" t="s">
        <v>162</v>
      </c>
      <c r="F57" s="2" t="s">
        <v>163</v>
      </c>
      <c r="G57" s="2" t="s">
        <v>196</v>
      </c>
      <c r="H57" s="2" t="s">
        <v>191</v>
      </c>
      <c r="I57" s="2" t="s">
        <v>253</v>
      </c>
      <c r="J57" s="3" t="n">
        <v>20.0</v>
      </c>
      <c r="K57" s="7" t="n">
        <v>0.0</v>
      </c>
      <c r="L57" s="2" t="s">
        <v>21</v>
      </c>
      <c r="M57" s="2" t="s">
        <v>254</v>
      </c>
    </row>
    <row r="58" ht="12.75" customHeight="true">
      <c r="A58" s="5" t="str">
        <f>HYPERLINK("https://devcloud.cn-east-3.huaweicloud.com/projectman/scrum/78b2e310f37c4e28bfb3ef86179ac134/task/detail/713352276","713352276")</f>
        <v>713352276</v>
      </c>
      <c r="B58" s="2" t="s">
        <v>255</v>
      </c>
      <c r="C58" s="2" t="s">
        <v>256</v>
      </c>
      <c r="D58" s="2" t="s">
        <v>30</v>
      </c>
      <c r="E58" s="2" t="s">
        <v>16</v>
      </c>
      <c r="F58" s="2" t="s">
        <v>169</v>
      </c>
      <c r="G58" s="2" t="s">
        <v>170</v>
      </c>
      <c r="H58" s="2" t="s">
        <v>191</v>
      </c>
      <c r="I58" s="2" t="s">
        <v>257</v>
      </c>
      <c r="J58" s="3" t="n">
        <v>20.0</v>
      </c>
      <c r="K58" s="7" t="n">
        <v>0.0</v>
      </c>
      <c r="L58" s="2" t="s">
        <v>21</v>
      </c>
      <c r="M58" s="2" t="s">
        <v>258</v>
      </c>
    </row>
    <row r="59" ht="12.75" customHeight="true">
      <c r="A59" s="5" t="str">
        <f>HYPERLINK("https://devcloud.cn-east-3.huaweicloud.com/projectman/scrum/78b2e310f37c4e28bfb3ef86179ac134/task/detail/713352273","713352273")</f>
        <v>713352273</v>
      </c>
      <c r="B59" s="2" t="s">
        <v>259</v>
      </c>
      <c r="C59" s="2" t="s">
        <v>260</v>
      </c>
      <c r="D59" s="2" t="s">
        <v>30</v>
      </c>
      <c r="E59" s="2" t="s">
        <v>162</v>
      </c>
      <c r="F59" s="2" t="s">
        <v>163</v>
      </c>
      <c r="G59" s="2" t="s">
        <v>196</v>
      </c>
      <c r="H59" s="2" t="s">
        <v>191</v>
      </c>
      <c r="I59" s="2" t="s">
        <v>261</v>
      </c>
      <c r="J59" s="3" t="n">
        <v>10.0</v>
      </c>
      <c r="K59" s="7" t="n">
        <v>0.0</v>
      </c>
      <c r="L59" s="2" t="s">
        <v>21</v>
      </c>
      <c r="M59" s="2" t="s">
        <v>262</v>
      </c>
    </row>
    <row r="60" ht="12.75" customHeight="true">
      <c r="A60" s="5" t="str">
        <f>HYPERLINK("https://devcloud.cn-east-3.huaweicloud.com/projectman/scrum/78b2e310f37c4e28bfb3ef86179ac134/task/detail/713352272","713352272")</f>
        <v>713352272</v>
      </c>
      <c r="B60" s="2" t="s">
        <v>263</v>
      </c>
      <c r="C60" s="2" t="s">
        <v>264</v>
      </c>
      <c r="D60" s="2" t="s">
        <v>30</v>
      </c>
      <c r="E60" s="2" t="s">
        <v>162</v>
      </c>
      <c r="F60" s="2" t="s">
        <v>163</v>
      </c>
      <c r="G60" s="2" t="s">
        <v>196</v>
      </c>
      <c r="H60" s="2" t="s">
        <v>191</v>
      </c>
      <c r="I60" s="2" t="s">
        <v>265</v>
      </c>
      <c r="J60" s="3" t="n">
        <v>6.0</v>
      </c>
      <c r="K60" s="7" t="n">
        <v>0.0</v>
      </c>
      <c r="L60" s="2" t="s">
        <v>21</v>
      </c>
      <c r="M60" s="2" t="s">
        <v>266</v>
      </c>
    </row>
    <row r="61" ht="12.75" customHeight="true">
      <c r="A61" s="5" t="str">
        <f>HYPERLINK("https://devcloud.cn-east-3.huaweicloud.com/projectman/scrum/78b2e310f37c4e28bfb3ef86179ac134/task/detail/713352271","713352271")</f>
        <v>713352271</v>
      </c>
      <c r="B61" s="2" t="s">
        <v>267</v>
      </c>
      <c r="C61" s="2" t="s">
        <v>268</v>
      </c>
      <c r="D61" s="2" t="s">
        <v>30</v>
      </c>
      <c r="E61" s="2" t="s">
        <v>16</v>
      </c>
      <c r="F61" s="2" t="s">
        <v>109</v>
      </c>
      <c r="G61" s="2" t="s">
        <v>110</v>
      </c>
      <c r="H61" s="2" t="s">
        <v>19</v>
      </c>
      <c r="I61" s="2" t="s">
        <v>269</v>
      </c>
      <c r="J61" s="3" t="n">
        <v>24.0</v>
      </c>
      <c r="K61" s="7" t="n">
        <v>0.0</v>
      </c>
      <c r="L61" s="2" t="s">
        <v>21</v>
      </c>
      <c r="M61" s="2" t="s">
        <v>270</v>
      </c>
    </row>
    <row r="62" ht="12.75" customHeight="true">
      <c r="A62" s="5" t="str">
        <f>HYPERLINK("https://devcloud.cn-east-3.huaweicloud.com/projectman/scrum/78b2e310f37c4e28bfb3ef86179ac134/task/detail/713352270","713352270")</f>
        <v>713352270</v>
      </c>
      <c r="B62" s="2" t="s">
        <v>271</v>
      </c>
      <c r="C62" s="2"/>
      <c r="D62" s="2" t="s">
        <v>15</v>
      </c>
      <c r="E62" s="2" t="s">
        <v>16</v>
      </c>
      <c r="F62" s="2" t="s">
        <v>163</v>
      </c>
      <c r="G62" s="2" t="s">
        <v>196</v>
      </c>
      <c r="H62" s="2" t="s">
        <v>191</v>
      </c>
      <c r="I62" s="2" t="s">
        <v>272</v>
      </c>
      <c r="J62" s="3" t="n">
        <v>0.0</v>
      </c>
      <c r="K62" s="7" t="n">
        <v>0.0</v>
      </c>
      <c r="L62" s="2" t="s">
        <v>21</v>
      </c>
      <c r="M62" s="2" t="s">
        <v>273</v>
      </c>
    </row>
    <row r="63" ht="12.75" customHeight="true">
      <c r="A63" s="5" t="str">
        <f>HYPERLINK("https://devcloud.cn-east-3.huaweicloud.com/projectman/scrum/78b2e310f37c4e28bfb3ef86179ac134/task/detail/713348091","713348091")</f>
        <v>713348091</v>
      </c>
      <c r="B63" s="2" t="s">
        <v>274</v>
      </c>
      <c r="C63" s="2" t="s">
        <v>275</v>
      </c>
      <c r="D63" s="2" t="s">
        <v>30</v>
      </c>
      <c r="E63" s="2" t="s">
        <v>16</v>
      </c>
      <c r="F63" s="2" t="s">
        <v>276</v>
      </c>
      <c r="G63" s="2" t="s">
        <v>277</v>
      </c>
      <c r="H63" s="2" t="s">
        <v>191</v>
      </c>
      <c r="I63" s="2" t="s">
        <v>278</v>
      </c>
      <c r="J63" s="3" t="n">
        <v>4.0</v>
      </c>
      <c r="K63" s="7" t="n">
        <v>0.0</v>
      </c>
      <c r="L63" s="2" t="s">
        <v>21</v>
      </c>
      <c r="M63" s="2" t="s">
        <v>279</v>
      </c>
    </row>
    <row r="64" ht="12.75" customHeight="true">
      <c r="A64" s="5" t="str">
        <f>HYPERLINK("https://devcloud.cn-east-3.huaweicloud.com/projectman/scrum/78b2e310f37c4e28bfb3ef86179ac134/task/detail/713342174","713342174")</f>
        <v>713342174</v>
      </c>
      <c r="B64" s="2" t="s">
        <v>280</v>
      </c>
      <c r="C64" s="2" t="s">
        <v>275</v>
      </c>
      <c r="D64" s="2" t="s">
        <v>30</v>
      </c>
      <c r="E64" s="2" t="s">
        <v>16</v>
      </c>
      <c r="F64" s="2" t="s">
        <v>276</v>
      </c>
      <c r="G64" s="2" t="s">
        <v>281</v>
      </c>
      <c r="H64" s="2" t="s">
        <v>191</v>
      </c>
      <c r="I64" s="2" t="s">
        <v>282</v>
      </c>
      <c r="J64" s="3" t="n">
        <v>7.0</v>
      </c>
      <c r="K64" s="7" t="n">
        <v>0.0</v>
      </c>
      <c r="L64" s="2" t="s">
        <v>21</v>
      </c>
      <c r="M64" s="2" t="s">
        <v>283</v>
      </c>
    </row>
    <row r="65" ht="12.75" customHeight="true">
      <c r="A65" s="5" t="str">
        <f>HYPERLINK("https://devcloud.cn-east-3.huaweicloud.com/projectman/scrum/78b2e310f37c4e28bfb3ef86179ac134/task/detail/713342146","713342146")</f>
        <v>713342146</v>
      </c>
      <c r="B65" s="2" t="s">
        <v>284</v>
      </c>
      <c r="C65" s="2" t="s">
        <v>285</v>
      </c>
      <c r="D65" s="2" t="s">
        <v>30</v>
      </c>
      <c r="E65" s="2" t="s">
        <v>286</v>
      </c>
      <c r="F65" s="2" t="s">
        <v>287</v>
      </c>
      <c r="G65" s="2" t="s">
        <v>288</v>
      </c>
      <c r="H65" s="2" t="s">
        <v>19</v>
      </c>
      <c r="I65" s="2" t="s">
        <v>289</v>
      </c>
      <c r="J65" s="3" t="n">
        <v>0.0</v>
      </c>
      <c r="K65" s="7" t="n">
        <v>0.0</v>
      </c>
      <c r="L65" s="2" t="s">
        <v>21</v>
      </c>
      <c r="M65" s="2" t="s">
        <v>151</v>
      </c>
    </row>
    <row r="66" ht="12.75" customHeight="true">
      <c r="A66" s="5" t="str">
        <f>HYPERLINK("https://devcloud.cn-east-3.huaweicloud.com/projectman/scrum/78b2e310f37c4e28bfb3ef86179ac134/task/detail/713342117","713342117")</f>
        <v>713342117</v>
      </c>
      <c r="B66" s="2" t="s">
        <v>290</v>
      </c>
      <c r="C66" s="2" t="s">
        <v>275</v>
      </c>
      <c r="D66" s="2" t="s">
        <v>30</v>
      </c>
      <c r="E66" s="2" t="s">
        <v>16</v>
      </c>
      <c r="F66" s="2" t="s">
        <v>276</v>
      </c>
      <c r="G66" s="2" t="s">
        <v>281</v>
      </c>
      <c r="H66" s="2" t="s">
        <v>19</v>
      </c>
      <c r="I66" s="2" t="s">
        <v>291</v>
      </c>
      <c r="J66" s="3" t="n">
        <v>5.0</v>
      </c>
      <c r="K66" s="7" t="n">
        <v>0.0</v>
      </c>
      <c r="L66" s="2" t="s">
        <v>21</v>
      </c>
      <c r="M66" s="2" t="s">
        <v>292</v>
      </c>
    </row>
    <row r="67" ht="12.75" customHeight="true">
      <c r="A67" s="5" t="str">
        <f>HYPERLINK("https://devcloud.cn-east-3.huaweicloud.com/projectman/scrum/78b2e310f37c4e28bfb3ef86179ac134/task/detail/713341931","713341931")</f>
        <v>713341931</v>
      </c>
      <c r="B67" s="2" t="s">
        <v>293</v>
      </c>
      <c r="C67" s="2" t="s">
        <v>275</v>
      </c>
      <c r="D67" s="2" t="s">
        <v>30</v>
      </c>
      <c r="E67" s="2" t="s">
        <v>16</v>
      </c>
      <c r="F67" s="2" t="s">
        <v>276</v>
      </c>
      <c r="G67" s="2" t="s">
        <v>281</v>
      </c>
      <c r="H67" s="2" t="s">
        <v>191</v>
      </c>
      <c r="I67" s="2" t="s">
        <v>294</v>
      </c>
      <c r="J67" s="3" t="n">
        <v>3.0</v>
      </c>
      <c r="K67" s="7" t="n">
        <v>0.0</v>
      </c>
      <c r="L67" s="2" t="s">
        <v>21</v>
      </c>
      <c r="M67" s="2" t="s">
        <v>295</v>
      </c>
    </row>
    <row r="68" ht="12.75" customHeight="true">
      <c r="A68" s="5" t="str">
        <f>HYPERLINK("https://devcloud.cn-east-3.huaweicloud.com/projectman/scrum/78b2e310f37c4e28bfb3ef86179ac134/task/detail/713341929","713341929")</f>
        <v>713341929</v>
      </c>
      <c r="B68" s="2" t="s">
        <v>296</v>
      </c>
      <c r="C68" s="2" t="s">
        <v>297</v>
      </c>
      <c r="D68" s="2" t="s">
        <v>30</v>
      </c>
      <c r="E68" s="2" t="s">
        <v>286</v>
      </c>
      <c r="F68" s="2" t="s">
        <v>276</v>
      </c>
      <c r="G68" s="2" t="s">
        <v>281</v>
      </c>
      <c r="H68" s="2" t="s">
        <v>191</v>
      </c>
      <c r="I68" s="2" t="s">
        <v>298</v>
      </c>
      <c r="J68" s="3" t="n">
        <v>0.0</v>
      </c>
      <c r="K68" s="7" t="n">
        <v>0.0</v>
      </c>
      <c r="L68" s="2" t="s">
        <v>21</v>
      </c>
      <c r="M68" s="2" t="s">
        <v>151</v>
      </c>
    </row>
    <row r="69" ht="12.75" customHeight="true">
      <c r="A69" s="5" t="str">
        <f>HYPERLINK("https://devcloud.cn-east-3.huaweicloud.com/projectman/scrum/78b2e310f37c4e28bfb3ef86179ac134/task/detail/713341876","713341876")</f>
        <v>713341876</v>
      </c>
      <c r="B69" s="2" t="s">
        <v>299</v>
      </c>
      <c r="C69" s="2" t="s">
        <v>275</v>
      </c>
      <c r="D69" s="2" t="s">
        <v>30</v>
      </c>
      <c r="E69" s="2" t="s">
        <v>16</v>
      </c>
      <c r="F69" s="2" t="s">
        <v>276</v>
      </c>
      <c r="G69" s="2" t="s">
        <v>281</v>
      </c>
      <c r="H69" s="2" t="s">
        <v>191</v>
      </c>
      <c r="I69" s="2" t="s">
        <v>300</v>
      </c>
      <c r="J69" s="3" t="n">
        <v>10.0</v>
      </c>
      <c r="K69" s="7" t="n">
        <v>0.0</v>
      </c>
      <c r="L69" s="2" t="s">
        <v>21</v>
      </c>
      <c r="M69" s="2" t="s">
        <v>301</v>
      </c>
    </row>
    <row r="70" ht="12.75" customHeight="true">
      <c r="A70" s="5" t="str">
        <f>HYPERLINK("https://devcloud.cn-east-3.huaweicloud.com/projectman/scrum/78b2e310f37c4e28bfb3ef86179ac134/task/detail/713341679","713341679")</f>
        <v>713341679</v>
      </c>
      <c r="B70" s="2" t="s">
        <v>302</v>
      </c>
      <c r="C70" s="2" t="s">
        <v>303</v>
      </c>
      <c r="D70" s="2" t="s">
        <v>30</v>
      </c>
      <c r="E70" s="2" t="s">
        <v>162</v>
      </c>
      <c r="F70" s="2" t="s">
        <v>287</v>
      </c>
      <c r="G70" s="2" t="s">
        <v>288</v>
      </c>
      <c r="H70" s="2" t="s">
        <v>19</v>
      </c>
      <c r="I70" s="2" t="s">
        <v>304</v>
      </c>
      <c r="J70" s="3" t="n">
        <v>0.0</v>
      </c>
      <c r="K70" s="7" t="n">
        <v>0.0</v>
      </c>
      <c r="L70" s="2" t="s">
        <v>21</v>
      </c>
      <c r="M70" s="2" t="s">
        <v>305</v>
      </c>
    </row>
    <row r="71" ht="12.75" customHeight="true">
      <c r="A71" s="5" t="str">
        <f>HYPERLINK("https://devcloud.cn-east-3.huaweicloud.com/projectman/scrum/78b2e310f37c4e28bfb3ef86179ac134/task/detail/713340914","713340914")</f>
        <v>713340914</v>
      </c>
      <c r="B71" s="2" t="s">
        <v>306</v>
      </c>
      <c r="C71" s="2"/>
      <c r="D71" s="2" t="s">
        <v>15</v>
      </c>
      <c r="E71" s="2" t="s">
        <v>16</v>
      </c>
      <c r="F71" s="2" t="s">
        <v>0</v>
      </c>
      <c r="G71" s="2" t="s">
        <v>0</v>
      </c>
      <c r="H71" s="2" t="s">
        <v>307</v>
      </c>
      <c r="I71" s="2" t="s">
        <v>308</v>
      </c>
      <c r="J71" s="3" t="n">
        <v>0.0</v>
      </c>
      <c r="K71" s="7" t="n">
        <v>0.0</v>
      </c>
      <c r="L71" s="2" t="s">
        <v>21</v>
      </c>
      <c r="M71" s="2" t="s">
        <v>309</v>
      </c>
    </row>
    <row r="72" ht="12.75" customHeight="true">
      <c r="A72" s="5" t="str">
        <f>HYPERLINK("https://devcloud.cn-east-3.huaweicloud.com/projectman/scrum/78b2e310f37c4e28bfb3ef86179ac134/task/detail/713339937","713339937")</f>
        <v>713339937</v>
      </c>
      <c r="B72" s="2" t="s">
        <v>310</v>
      </c>
      <c r="C72" s="2"/>
      <c r="D72" s="2" t="s">
        <v>15</v>
      </c>
      <c r="E72" s="2" t="s">
        <v>16</v>
      </c>
      <c r="F72" s="2" t="s">
        <v>0</v>
      </c>
      <c r="G72" s="2" t="s">
        <v>0</v>
      </c>
      <c r="H72" s="2" t="s">
        <v>19</v>
      </c>
      <c r="I72" s="2" t="s">
        <v>311</v>
      </c>
      <c r="J72" s="3" t="n">
        <v>0.0</v>
      </c>
      <c r="K72" s="7" t="n">
        <v>0.0</v>
      </c>
      <c r="L72" s="2" t="s">
        <v>21</v>
      </c>
      <c r="M72" s="2" t="s">
        <v>312</v>
      </c>
    </row>
    <row r="73" ht="12.75" customHeight="true">
      <c r="A73" s="5" t="str">
        <f>HYPERLINK("https://devcloud.cn-east-3.huaweicloud.com/projectman/scrum/78b2e310f37c4e28bfb3ef86179ac134/task/detail/713339792","713339792")</f>
        <v>713339792</v>
      </c>
      <c r="B73" s="2" t="s">
        <v>313</v>
      </c>
      <c r="C73" s="2" t="s">
        <v>275</v>
      </c>
      <c r="D73" s="2" t="s">
        <v>30</v>
      </c>
      <c r="E73" s="2" t="s">
        <v>16</v>
      </c>
      <c r="F73" s="2" t="s">
        <v>276</v>
      </c>
      <c r="G73" s="2" t="s">
        <v>281</v>
      </c>
      <c r="H73" s="2" t="s">
        <v>191</v>
      </c>
      <c r="I73" s="2" t="s">
        <v>314</v>
      </c>
      <c r="J73" s="3" t="n">
        <v>34.0</v>
      </c>
      <c r="K73" s="7" t="n">
        <v>0.0</v>
      </c>
      <c r="L73" s="2" t="s">
        <v>21</v>
      </c>
      <c r="M73" s="2" t="s">
        <v>315</v>
      </c>
    </row>
    <row r="74" ht="12.75" customHeight="true">
      <c r="A74" s="5" t="str">
        <f>HYPERLINK("https://devcloud.cn-east-3.huaweicloud.com/projectman/scrum/78b2e310f37c4e28bfb3ef86179ac134/task/detail/713337470","713337470")</f>
        <v>713337470</v>
      </c>
      <c r="B74" s="2" t="s">
        <v>316</v>
      </c>
      <c r="C74" s="2" t="s">
        <v>275</v>
      </c>
      <c r="D74" s="2" t="s">
        <v>30</v>
      </c>
      <c r="E74" s="2" t="s">
        <v>16</v>
      </c>
      <c r="F74" s="2" t="s">
        <v>276</v>
      </c>
      <c r="G74" s="2" t="s">
        <v>281</v>
      </c>
      <c r="H74" s="2" t="s">
        <v>19</v>
      </c>
      <c r="I74" s="2" t="s">
        <v>317</v>
      </c>
      <c r="J74" s="3" t="n">
        <v>10.0</v>
      </c>
      <c r="K74" s="7" t="n">
        <v>0.0</v>
      </c>
      <c r="L74" s="2" t="s">
        <v>21</v>
      </c>
      <c r="M74" s="2" t="s">
        <v>318</v>
      </c>
    </row>
    <row r="75" ht="12.75" customHeight="true">
      <c r="A75" s="5" t="str">
        <f>HYPERLINK("https://devcloud.cn-east-3.huaweicloud.com/projectman/scrum/78b2e310f37c4e28bfb3ef86179ac134/task/detail/713337465","713337465")</f>
        <v>713337465</v>
      </c>
      <c r="B75" s="2" t="s">
        <v>319</v>
      </c>
      <c r="C75" s="2" t="s">
        <v>275</v>
      </c>
      <c r="D75" s="2" t="s">
        <v>30</v>
      </c>
      <c r="E75" s="2" t="s">
        <v>16</v>
      </c>
      <c r="F75" s="2" t="s">
        <v>276</v>
      </c>
      <c r="G75" s="2" t="s">
        <v>281</v>
      </c>
      <c r="H75" s="2" t="s">
        <v>19</v>
      </c>
      <c r="I75" s="2" t="s">
        <v>320</v>
      </c>
      <c r="J75" s="3" t="n">
        <v>6.0</v>
      </c>
      <c r="K75" s="7" t="n">
        <v>0.0</v>
      </c>
      <c r="L75" s="2" t="s">
        <v>21</v>
      </c>
      <c r="M75" s="2" t="s">
        <v>321</v>
      </c>
    </row>
    <row r="76" ht="12.75" customHeight="true">
      <c r="A76" s="5" t="str">
        <f>HYPERLINK("https://devcloud.cn-east-3.huaweicloud.com/projectman/scrum/78b2e310f37c4e28bfb3ef86179ac134/task/detail/713337438","713337438")</f>
        <v>713337438</v>
      </c>
      <c r="B76" s="2" t="s">
        <v>322</v>
      </c>
      <c r="C76" s="2" t="s">
        <v>275</v>
      </c>
      <c r="D76" s="2" t="s">
        <v>30</v>
      </c>
      <c r="E76" s="2" t="s">
        <v>16</v>
      </c>
      <c r="F76" s="2" t="s">
        <v>276</v>
      </c>
      <c r="G76" s="2" t="s">
        <v>281</v>
      </c>
      <c r="H76" s="2" t="s">
        <v>191</v>
      </c>
      <c r="I76" s="2" t="s">
        <v>323</v>
      </c>
      <c r="J76" s="3" t="n">
        <v>16.0</v>
      </c>
      <c r="K76" s="7" t="n">
        <v>0.0</v>
      </c>
      <c r="L76" s="2" t="s">
        <v>21</v>
      </c>
      <c r="M76" s="2" t="s">
        <v>324</v>
      </c>
    </row>
    <row r="77" ht="12.75" customHeight="true">
      <c r="A77" s="5" t="str">
        <f>HYPERLINK("https://devcloud.cn-east-3.huaweicloud.com/projectman/scrum/78b2e310f37c4e28bfb3ef86179ac134/task/detail/713320731","713320731")</f>
        <v>713320731</v>
      </c>
      <c r="B77" s="2" t="s">
        <v>325</v>
      </c>
      <c r="C77" s="2" t="s">
        <v>303</v>
      </c>
      <c r="D77" s="2" t="s">
        <v>30</v>
      </c>
      <c r="E77" s="2" t="s">
        <v>16</v>
      </c>
      <c r="F77" s="2" t="s">
        <v>287</v>
      </c>
      <c r="G77" s="2" t="s">
        <v>288</v>
      </c>
      <c r="H77" s="2" t="s">
        <v>19</v>
      </c>
      <c r="I77" s="2" t="s">
        <v>326</v>
      </c>
      <c r="J77" s="3" t="n">
        <v>0.0</v>
      </c>
      <c r="K77" s="7" t="n">
        <v>0.0</v>
      </c>
      <c r="L77" s="2" t="s">
        <v>21</v>
      </c>
      <c r="M77" s="2" t="s">
        <v>327</v>
      </c>
    </row>
    <row r="78" ht="12.75" customHeight="true">
      <c r="A78" s="5" t="str">
        <f>HYPERLINK("https://devcloud.cn-east-3.huaweicloud.com/projectman/scrum/78b2e310f37c4e28bfb3ef86179ac134/task/detail/713317485","713317485")</f>
        <v>713317485</v>
      </c>
      <c r="B78" s="2" t="s">
        <v>328</v>
      </c>
      <c r="C78" s="2" t="s">
        <v>303</v>
      </c>
      <c r="D78" s="2" t="s">
        <v>30</v>
      </c>
      <c r="E78" s="2" t="s">
        <v>16</v>
      </c>
      <c r="F78" s="2" t="s">
        <v>287</v>
      </c>
      <c r="G78" s="2" t="s">
        <v>288</v>
      </c>
      <c r="H78" s="2" t="s">
        <v>19</v>
      </c>
      <c r="I78" s="2" t="s">
        <v>329</v>
      </c>
      <c r="J78" s="3" t="n">
        <v>0.0</v>
      </c>
      <c r="K78" s="7" t="n">
        <v>0.0</v>
      </c>
      <c r="L78" s="2" t="s">
        <v>21</v>
      </c>
      <c r="M78" s="2" t="s">
        <v>330</v>
      </c>
    </row>
    <row r="79" ht="12.75" customHeight="true">
      <c r="A79" s="5" t="str">
        <f>HYPERLINK("https://devcloud.cn-east-3.huaweicloud.com/projectman/scrum/78b2e310f37c4e28bfb3ef86179ac134/task/detail/713317484","713317484")</f>
        <v>713317484</v>
      </c>
      <c r="B79" s="2" t="s">
        <v>331</v>
      </c>
      <c r="C79" s="2" t="s">
        <v>303</v>
      </c>
      <c r="D79" s="2" t="s">
        <v>30</v>
      </c>
      <c r="E79" s="2" t="s">
        <v>16</v>
      </c>
      <c r="F79" s="2" t="s">
        <v>287</v>
      </c>
      <c r="G79" s="2" t="s">
        <v>288</v>
      </c>
      <c r="H79" s="2" t="s">
        <v>19</v>
      </c>
      <c r="I79" s="2" t="s">
        <v>332</v>
      </c>
      <c r="J79" s="3" t="n">
        <v>8.0</v>
      </c>
      <c r="K79" s="7" t="n">
        <v>0.0</v>
      </c>
      <c r="L79" s="2" t="s">
        <v>21</v>
      </c>
      <c r="M79" s="2" t="s">
        <v>333</v>
      </c>
    </row>
    <row r="80" ht="12.75" customHeight="true">
      <c r="A80" s="5" t="str">
        <f>HYPERLINK("https://devcloud.cn-east-3.huaweicloud.com/projectman/scrum/78b2e310f37c4e28bfb3ef86179ac134/task/detail/713310044","713310044")</f>
        <v>713310044</v>
      </c>
      <c r="B80" s="2" t="s">
        <v>334</v>
      </c>
      <c r="C80" s="2" t="s">
        <v>335</v>
      </c>
      <c r="D80" s="2" t="s">
        <v>30</v>
      </c>
      <c r="E80" s="2" t="s">
        <v>16</v>
      </c>
      <c r="F80" s="2" t="s">
        <v>336</v>
      </c>
      <c r="G80" s="2" t="s">
        <v>337</v>
      </c>
      <c r="H80" s="2" t="s">
        <v>191</v>
      </c>
      <c r="I80" s="2" t="s">
        <v>338</v>
      </c>
      <c r="J80" s="3" t="n">
        <v>0.0</v>
      </c>
      <c r="K80" s="7" t="n">
        <v>0.0</v>
      </c>
      <c r="L80" s="2" t="s">
        <v>21</v>
      </c>
      <c r="M80" s="2" t="s">
        <v>339</v>
      </c>
    </row>
    <row r="81" ht="12.75" customHeight="true">
      <c r="A81" s="5" t="str">
        <f>HYPERLINK("https://devcloud.cn-east-3.huaweicloud.com/projectman/scrum/78b2e310f37c4e28bfb3ef86179ac134/task/detail/713294320","713294320")</f>
        <v>713294320</v>
      </c>
      <c r="B81" s="2" t="s">
        <v>340</v>
      </c>
      <c r="C81" s="2" t="s">
        <v>335</v>
      </c>
      <c r="D81" s="2" t="s">
        <v>30</v>
      </c>
      <c r="E81" s="2" t="s">
        <v>16</v>
      </c>
      <c r="F81" s="2" t="s">
        <v>0</v>
      </c>
      <c r="G81" s="2" t="s">
        <v>0</v>
      </c>
      <c r="H81" s="2" t="s">
        <v>191</v>
      </c>
      <c r="I81" s="2" t="s">
        <v>341</v>
      </c>
      <c r="J81" s="3" t="n">
        <v>0.0</v>
      </c>
      <c r="K81" s="7" t="n">
        <v>0.0</v>
      </c>
      <c r="L81" s="2" t="s">
        <v>21</v>
      </c>
      <c r="M81" s="2" t="s">
        <v>342</v>
      </c>
    </row>
    <row r="82" ht="12.75" customHeight="true">
      <c r="A82" s="5" t="str">
        <f>HYPERLINK("https://devcloud.cn-east-3.huaweicloud.com/projectman/scrum/78b2e310f37c4e28bfb3ef86179ac134/task/detail/713294203","713294203")</f>
        <v>713294203</v>
      </c>
      <c r="B82" s="2" t="s">
        <v>343</v>
      </c>
      <c r="C82" s="2" t="s">
        <v>335</v>
      </c>
      <c r="D82" s="2" t="s">
        <v>30</v>
      </c>
      <c r="E82" s="2" t="s">
        <v>16</v>
      </c>
      <c r="F82" s="2" t="s">
        <v>0</v>
      </c>
      <c r="G82" s="2" t="s">
        <v>0</v>
      </c>
      <c r="H82" s="2" t="s">
        <v>19</v>
      </c>
      <c r="I82" s="2" t="s">
        <v>344</v>
      </c>
      <c r="J82" s="3" t="n">
        <v>0.0</v>
      </c>
      <c r="K82" s="7" t="n">
        <v>0.0</v>
      </c>
      <c r="L82" s="2" t="s">
        <v>21</v>
      </c>
      <c r="M82" s="2" t="s">
        <v>345</v>
      </c>
    </row>
    <row r="83" ht="12.75" customHeight="true">
      <c r="A83" s="5" t="str">
        <f>HYPERLINK("https://devcloud.cn-east-3.huaweicloud.com/projectman/scrum/78b2e310f37c4e28bfb3ef86179ac134/task/detail/713294165","713294165")</f>
        <v>713294165</v>
      </c>
      <c r="B83" s="2" t="s">
        <v>346</v>
      </c>
      <c r="C83" s="2" t="s">
        <v>335</v>
      </c>
      <c r="D83" s="2" t="s">
        <v>30</v>
      </c>
      <c r="E83" s="2" t="s">
        <v>16</v>
      </c>
      <c r="F83" s="2" t="s">
        <v>0</v>
      </c>
      <c r="G83" s="2" t="s">
        <v>0</v>
      </c>
      <c r="H83" s="2" t="s">
        <v>19</v>
      </c>
      <c r="I83" s="2" t="s">
        <v>347</v>
      </c>
      <c r="J83" s="3" t="n">
        <v>0.0</v>
      </c>
      <c r="K83" s="7" t="n">
        <v>0.0</v>
      </c>
      <c r="L83" s="2" t="s">
        <v>21</v>
      </c>
      <c r="M83" s="2" t="s">
        <v>348</v>
      </c>
    </row>
    <row r="84" ht="12.75" customHeight="true">
      <c r="A84" s="5" t="str">
        <f>HYPERLINK("https://devcloud.cn-east-3.huaweicloud.com/projectman/scrum/78b2e310f37c4e28bfb3ef86179ac134/task/detail/713294159","713294159")</f>
        <v>713294159</v>
      </c>
      <c r="B84" s="2" t="s">
        <v>349</v>
      </c>
      <c r="C84" s="2" t="s">
        <v>335</v>
      </c>
      <c r="D84" s="2" t="s">
        <v>30</v>
      </c>
      <c r="E84" s="2" t="s">
        <v>16</v>
      </c>
      <c r="F84" s="2" t="s">
        <v>0</v>
      </c>
      <c r="G84" s="2" t="s">
        <v>0</v>
      </c>
      <c r="H84" s="2" t="s">
        <v>191</v>
      </c>
      <c r="I84" s="2" t="s">
        <v>350</v>
      </c>
      <c r="J84" s="3" t="n">
        <v>0.0</v>
      </c>
      <c r="K84" s="7" t="n">
        <v>0.0</v>
      </c>
      <c r="L84" s="2" t="s">
        <v>21</v>
      </c>
      <c r="M84" s="2" t="s">
        <v>351</v>
      </c>
    </row>
    <row r="85" ht="12.75" customHeight="true">
      <c r="A85" s="5" t="str">
        <f>HYPERLINK("https://devcloud.cn-east-3.huaweicloud.com/projectman/scrum/78b2e310f37c4e28bfb3ef86179ac134/task/detail/713281691","713281691")</f>
        <v>713281691</v>
      </c>
      <c r="B85" s="2" t="s">
        <v>352</v>
      </c>
      <c r="C85" s="2" t="s">
        <v>353</v>
      </c>
      <c r="D85" s="2" t="s">
        <v>30</v>
      </c>
      <c r="E85" s="2" t="s">
        <v>16</v>
      </c>
      <c r="F85" s="2" t="s">
        <v>354</v>
      </c>
      <c r="G85" s="2" t="s">
        <v>355</v>
      </c>
      <c r="H85" s="2" t="s">
        <v>19</v>
      </c>
      <c r="I85" s="2" t="s">
        <v>356</v>
      </c>
      <c r="J85" s="3" t="n">
        <v>0.0</v>
      </c>
      <c r="K85" s="7" t="n">
        <v>0.0</v>
      </c>
      <c r="L85" s="2" t="s">
        <v>21</v>
      </c>
      <c r="M85" s="2" t="s">
        <v>357</v>
      </c>
    </row>
    <row r="86" ht="12.75" customHeight="true">
      <c r="A86" s="5" t="str">
        <f>HYPERLINK("https://devcloud.cn-east-3.huaweicloud.com/projectman/scrum/78b2e310f37c4e28bfb3ef86179ac134/task/detail/713279642","713279642")</f>
        <v>713279642</v>
      </c>
      <c r="B86" s="2" t="s">
        <v>358</v>
      </c>
      <c r="C86" s="2" t="s">
        <v>303</v>
      </c>
      <c r="D86" s="2" t="s">
        <v>30</v>
      </c>
      <c r="E86" s="2" t="s">
        <v>16</v>
      </c>
      <c r="F86" s="2" t="s">
        <v>287</v>
      </c>
      <c r="G86" s="2" t="s">
        <v>288</v>
      </c>
      <c r="H86" s="2" t="s">
        <v>191</v>
      </c>
      <c r="I86" s="2" t="s">
        <v>359</v>
      </c>
      <c r="J86" s="3" t="n">
        <v>0.0</v>
      </c>
      <c r="K86" s="7" t="n">
        <v>0.0</v>
      </c>
      <c r="L86" s="2" t="s">
        <v>21</v>
      </c>
      <c r="M86" s="2" t="s">
        <v>360</v>
      </c>
    </row>
    <row r="87" ht="12.75" customHeight="true">
      <c r="A87" s="5" t="str">
        <f>HYPERLINK("https://devcloud.cn-east-3.huaweicloud.com/projectman/scrum/78b2e310f37c4e28bfb3ef86179ac134/task/detail/713277957","713277957")</f>
        <v>713277957</v>
      </c>
      <c r="B87" s="2" t="s">
        <v>361</v>
      </c>
      <c r="C87" s="2" t="s">
        <v>303</v>
      </c>
      <c r="D87" s="2" t="s">
        <v>30</v>
      </c>
      <c r="E87" s="2" t="s">
        <v>16</v>
      </c>
      <c r="F87" s="2" t="s">
        <v>287</v>
      </c>
      <c r="G87" s="2" t="s">
        <v>288</v>
      </c>
      <c r="H87" s="2" t="s">
        <v>191</v>
      </c>
      <c r="I87" s="2" t="s">
        <v>362</v>
      </c>
      <c r="J87" s="3" t="n">
        <v>0.0</v>
      </c>
      <c r="K87" s="7" t="n">
        <v>0.0</v>
      </c>
      <c r="L87" s="2" t="s">
        <v>21</v>
      </c>
      <c r="M87" s="2" t="s">
        <v>363</v>
      </c>
    </row>
    <row r="88" ht="12.75" customHeight="true">
      <c r="A88" s="5" t="str">
        <f>HYPERLINK("https://devcloud.cn-east-3.huaweicloud.com/projectman/scrum/78b2e310f37c4e28bfb3ef86179ac134/task/detail/713276446","713276446")</f>
        <v>713276446</v>
      </c>
      <c r="B88" s="2" t="s">
        <v>364</v>
      </c>
      <c r="C88" s="2" t="s">
        <v>303</v>
      </c>
      <c r="D88" s="2" t="s">
        <v>30</v>
      </c>
      <c r="E88" s="2" t="s">
        <v>16</v>
      </c>
      <c r="F88" s="2" t="s">
        <v>287</v>
      </c>
      <c r="G88" s="2" t="s">
        <v>288</v>
      </c>
      <c r="H88" s="2" t="s">
        <v>191</v>
      </c>
      <c r="I88" s="2" t="s">
        <v>365</v>
      </c>
      <c r="J88" s="3" t="n">
        <v>16.0</v>
      </c>
      <c r="K88" s="7" t="n">
        <v>0.0</v>
      </c>
      <c r="L88" s="2" t="s">
        <v>21</v>
      </c>
      <c r="M88" s="2" t="s">
        <v>366</v>
      </c>
    </row>
    <row r="89" ht="12.75" customHeight="true">
      <c r="A89" s="5" t="str">
        <f>HYPERLINK("https://devcloud.cn-east-3.huaweicloud.com/projectman/scrum/78b2e310f37c4e28bfb3ef86179ac134/task/detail/713274579","713274579")</f>
        <v>713274579</v>
      </c>
      <c r="B89" s="2" t="s">
        <v>367</v>
      </c>
      <c r="C89" s="2" t="s">
        <v>353</v>
      </c>
      <c r="D89" s="2" t="s">
        <v>30</v>
      </c>
      <c r="E89" s="2" t="s">
        <v>16</v>
      </c>
      <c r="F89" s="2" t="s">
        <v>354</v>
      </c>
      <c r="G89" s="2" t="s">
        <v>355</v>
      </c>
      <c r="H89" s="2" t="s">
        <v>191</v>
      </c>
      <c r="I89" s="2" t="s">
        <v>368</v>
      </c>
      <c r="J89" s="3" t="n">
        <v>0.0</v>
      </c>
      <c r="K89" s="7" t="n">
        <v>0.0</v>
      </c>
      <c r="L89" s="2" t="s">
        <v>21</v>
      </c>
      <c r="M89" s="2" t="s">
        <v>369</v>
      </c>
    </row>
    <row r="90" ht="12.75" customHeight="true">
      <c r="A90" s="5" t="str">
        <f>HYPERLINK("https://devcloud.cn-east-3.huaweicloud.com/projectman/scrum/78b2e310f37c4e28bfb3ef86179ac134/task/detail/713274328","713274328")</f>
        <v>713274328</v>
      </c>
      <c r="B90" s="2" t="s">
        <v>370</v>
      </c>
      <c r="C90" s="2" t="s">
        <v>303</v>
      </c>
      <c r="D90" s="2" t="s">
        <v>30</v>
      </c>
      <c r="E90" s="2" t="s">
        <v>16</v>
      </c>
      <c r="F90" s="2" t="s">
        <v>287</v>
      </c>
      <c r="G90" s="2" t="s">
        <v>288</v>
      </c>
      <c r="H90" s="2" t="s">
        <v>191</v>
      </c>
      <c r="I90" s="2" t="s">
        <v>371</v>
      </c>
      <c r="J90" s="3" t="n">
        <v>20.0</v>
      </c>
      <c r="K90" s="7" t="n">
        <v>0.0</v>
      </c>
      <c r="L90" s="2" t="s">
        <v>21</v>
      </c>
      <c r="M90" s="2" t="s">
        <v>372</v>
      </c>
    </row>
    <row r="91" ht="12.75" customHeight="true">
      <c r="A91" s="5" t="str">
        <f>HYPERLINK("https://devcloud.cn-east-3.huaweicloud.com/projectman/scrum/78b2e310f37c4e28bfb3ef86179ac134/task/detail/713274247","713274247")</f>
        <v>713274247</v>
      </c>
      <c r="B91" s="2" t="s">
        <v>373</v>
      </c>
      <c r="C91" s="2" t="s">
        <v>353</v>
      </c>
      <c r="D91" s="2" t="s">
        <v>30</v>
      </c>
      <c r="E91" s="2" t="s">
        <v>16</v>
      </c>
      <c r="F91" s="2" t="s">
        <v>354</v>
      </c>
      <c r="G91" s="2" t="s">
        <v>355</v>
      </c>
      <c r="H91" s="2" t="s">
        <v>19</v>
      </c>
      <c r="I91" s="2" t="s">
        <v>374</v>
      </c>
      <c r="J91" s="3" t="n">
        <v>0.0</v>
      </c>
      <c r="K91" s="7" t="n">
        <v>0.0</v>
      </c>
      <c r="L91" s="2" t="s">
        <v>21</v>
      </c>
      <c r="M91" s="2" t="s">
        <v>375</v>
      </c>
    </row>
    <row r="92" ht="12.75" customHeight="true">
      <c r="A92" s="5" t="str">
        <f>HYPERLINK("https://devcloud.cn-east-3.huaweicloud.com/projectman/scrum/78b2e310f37c4e28bfb3ef86179ac134/task/detail/713274176","713274176")</f>
        <v>713274176</v>
      </c>
      <c r="B92" s="2" t="s">
        <v>376</v>
      </c>
      <c r="C92" s="2" t="s">
        <v>335</v>
      </c>
      <c r="D92" s="2" t="s">
        <v>30</v>
      </c>
      <c r="E92" s="2" t="s">
        <v>16</v>
      </c>
      <c r="F92" s="2" t="s">
        <v>336</v>
      </c>
      <c r="G92" s="2" t="s">
        <v>337</v>
      </c>
      <c r="H92" s="2" t="s">
        <v>191</v>
      </c>
      <c r="I92" s="2" t="s">
        <v>377</v>
      </c>
      <c r="J92" s="3" t="n">
        <v>0.0</v>
      </c>
      <c r="K92" s="7" t="n">
        <v>0.0</v>
      </c>
      <c r="L92" s="2" t="s">
        <v>21</v>
      </c>
      <c r="M92" s="2" t="s">
        <v>378</v>
      </c>
    </row>
    <row r="93" ht="12.75" customHeight="true">
      <c r="A93" s="5" t="str">
        <f>HYPERLINK("https://devcloud.cn-east-3.huaweicloud.com/projectman/scrum/78b2e310f37c4e28bfb3ef86179ac134/task/detail/713273773","713273773")</f>
        <v>713273773</v>
      </c>
      <c r="B93" s="2" t="s">
        <v>379</v>
      </c>
      <c r="C93" s="2" t="s">
        <v>353</v>
      </c>
      <c r="D93" s="2" t="s">
        <v>30</v>
      </c>
      <c r="E93" s="2" t="s">
        <v>16</v>
      </c>
      <c r="F93" s="2" t="s">
        <v>354</v>
      </c>
      <c r="G93" s="2" t="s">
        <v>355</v>
      </c>
      <c r="H93" s="2" t="s">
        <v>19</v>
      </c>
      <c r="I93" s="2" t="s">
        <v>380</v>
      </c>
      <c r="J93" s="3" t="n">
        <v>0.0</v>
      </c>
      <c r="K93" s="7" t="n">
        <v>0.0</v>
      </c>
      <c r="L93" s="2" t="s">
        <v>21</v>
      </c>
      <c r="M93" s="2" t="s">
        <v>381</v>
      </c>
    </row>
    <row r="94" ht="12.75" customHeight="true">
      <c r="A94" s="5" t="str">
        <f>HYPERLINK("https://devcloud.cn-east-3.huaweicloud.com/projectman/scrum/78b2e310f37c4e28bfb3ef86179ac134/task/detail/713273244","713273244")</f>
        <v>713273244</v>
      </c>
      <c r="B94" s="2" t="s">
        <v>382</v>
      </c>
      <c r="C94" s="2" t="s">
        <v>353</v>
      </c>
      <c r="D94" s="2" t="s">
        <v>30</v>
      </c>
      <c r="E94" s="2" t="s">
        <v>16</v>
      </c>
      <c r="F94" s="2" t="s">
        <v>354</v>
      </c>
      <c r="G94" s="2" t="s">
        <v>355</v>
      </c>
      <c r="H94" s="2" t="s">
        <v>191</v>
      </c>
      <c r="I94" s="2" t="s">
        <v>383</v>
      </c>
      <c r="J94" s="3" t="n">
        <v>5.0</v>
      </c>
      <c r="K94" s="7" t="n">
        <v>0.0</v>
      </c>
      <c r="L94" s="2" t="s">
        <v>21</v>
      </c>
      <c r="M94" s="2" t="s">
        <v>384</v>
      </c>
    </row>
    <row r="95" ht="12.75" customHeight="true">
      <c r="A95" s="5" t="str">
        <f>HYPERLINK("https://devcloud.cn-east-3.huaweicloud.com/projectman/scrum/78b2e310f37c4e28bfb3ef86179ac134/task/detail/713272975","713272975")</f>
        <v>713272975</v>
      </c>
      <c r="B95" s="2" t="s">
        <v>385</v>
      </c>
      <c r="C95" s="2" t="s">
        <v>353</v>
      </c>
      <c r="D95" s="2" t="s">
        <v>30</v>
      </c>
      <c r="E95" s="2" t="s">
        <v>16</v>
      </c>
      <c r="F95" s="2" t="s">
        <v>354</v>
      </c>
      <c r="G95" s="2" t="s">
        <v>355</v>
      </c>
      <c r="H95" s="2" t="s">
        <v>19</v>
      </c>
      <c r="I95" s="2" t="s">
        <v>386</v>
      </c>
      <c r="J95" s="3" t="n">
        <v>0.0</v>
      </c>
      <c r="K95" s="7" t="n">
        <v>0.0</v>
      </c>
      <c r="L95" s="2" t="s">
        <v>21</v>
      </c>
      <c r="M95" s="2" t="s">
        <v>387</v>
      </c>
    </row>
    <row r="96" ht="12.75" customHeight="true">
      <c r="A96" s="5" t="str">
        <f>HYPERLINK("https://devcloud.cn-east-3.huaweicloud.com/projectman/scrum/78b2e310f37c4e28bfb3ef86179ac134/task/detail/713265538","713265538")</f>
        <v>713265538</v>
      </c>
      <c r="B96" s="2" t="s">
        <v>388</v>
      </c>
      <c r="C96" s="2" t="s">
        <v>275</v>
      </c>
      <c r="D96" s="2" t="s">
        <v>30</v>
      </c>
      <c r="E96" s="2" t="s">
        <v>16</v>
      </c>
      <c r="F96" s="2" t="s">
        <v>276</v>
      </c>
      <c r="G96" s="2" t="s">
        <v>281</v>
      </c>
      <c r="H96" s="2" t="s">
        <v>191</v>
      </c>
      <c r="I96" s="2" t="s">
        <v>389</v>
      </c>
      <c r="J96" s="3" t="n">
        <v>8.0</v>
      </c>
      <c r="K96" s="7" t="n">
        <v>0.0</v>
      </c>
      <c r="L96" s="2" t="s">
        <v>21</v>
      </c>
      <c r="M96" s="2" t="s">
        <v>390</v>
      </c>
    </row>
    <row r="97" ht="12.75" customHeight="true">
      <c r="A97" s="5" t="str">
        <f>HYPERLINK("https://devcloud.cn-east-3.huaweicloud.com/projectman/scrum/78b2e310f37c4e28bfb3ef86179ac134/task/detail/713256184","713256184")</f>
        <v>713256184</v>
      </c>
      <c r="B97" s="2" t="s">
        <v>391</v>
      </c>
      <c r="C97" s="2" t="s">
        <v>353</v>
      </c>
      <c r="D97" s="2" t="s">
        <v>30</v>
      </c>
      <c r="E97" s="2" t="s">
        <v>16</v>
      </c>
      <c r="F97" s="2" t="s">
        <v>354</v>
      </c>
      <c r="G97" s="2" t="s">
        <v>392</v>
      </c>
      <c r="H97" s="2" t="s">
        <v>191</v>
      </c>
      <c r="I97" s="2" t="s">
        <v>393</v>
      </c>
      <c r="J97" s="3" t="n">
        <v>12.0</v>
      </c>
      <c r="K97" s="7" t="n">
        <v>0.0</v>
      </c>
      <c r="L97" s="2" t="s">
        <v>21</v>
      </c>
      <c r="M97" s="2" t="s">
        <v>394</v>
      </c>
    </row>
    <row r="98" ht="12.75" customHeight="true">
      <c r="A98" s="5" t="str">
        <f>HYPERLINK("https://devcloud.cn-east-3.huaweicloud.com/projectman/scrum/78b2e310f37c4e28bfb3ef86179ac134/task/detail/713256162","713256162")</f>
        <v>713256162</v>
      </c>
      <c r="B98" s="2" t="s">
        <v>395</v>
      </c>
      <c r="C98" s="2" t="s">
        <v>396</v>
      </c>
      <c r="D98" s="2" t="s">
        <v>30</v>
      </c>
      <c r="E98" s="2" t="s">
        <v>16</v>
      </c>
      <c r="F98" s="2" t="s">
        <v>397</v>
      </c>
      <c r="G98" s="2" t="s">
        <v>398</v>
      </c>
      <c r="H98" s="2" t="s">
        <v>19</v>
      </c>
      <c r="I98" s="2" t="s">
        <v>399</v>
      </c>
      <c r="J98" s="3" t="n">
        <v>16.0</v>
      </c>
      <c r="K98" s="7" t="n">
        <v>0.0</v>
      </c>
      <c r="L98" s="2" t="s">
        <v>21</v>
      </c>
      <c r="M98" s="2" t="s">
        <v>400</v>
      </c>
    </row>
    <row r="99" ht="12.75" customHeight="true">
      <c r="A99" s="5" t="str">
        <f>HYPERLINK("https://devcloud.cn-east-3.huaweicloud.com/projectman/scrum/78b2e310f37c4e28bfb3ef86179ac134/task/detail/713256065","713256065")</f>
        <v>713256065</v>
      </c>
      <c r="B99" s="2" t="s">
        <v>401</v>
      </c>
      <c r="C99" s="2" t="s">
        <v>402</v>
      </c>
      <c r="D99" s="2" t="s">
        <v>30</v>
      </c>
      <c r="E99" s="2" t="s">
        <v>16</v>
      </c>
      <c r="F99" s="2" t="s">
        <v>397</v>
      </c>
      <c r="G99" s="2" t="s">
        <v>398</v>
      </c>
      <c r="H99" s="2" t="s">
        <v>19</v>
      </c>
      <c r="I99" s="2" t="s">
        <v>403</v>
      </c>
      <c r="J99" s="3" t="n">
        <v>12.0</v>
      </c>
      <c r="K99" s="7" t="n">
        <v>0.0</v>
      </c>
      <c r="L99" s="2" t="s">
        <v>21</v>
      </c>
      <c r="M99" s="2" t="s">
        <v>404</v>
      </c>
    </row>
    <row r="100" ht="12.75" customHeight="true">
      <c r="A100" s="5" t="str">
        <f>HYPERLINK("https://devcloud.cn-east-3.huaweicloud.com/projectman/scrum/78b2e310f37c4e28bfb3ef86179ac134/task/detail/713256005","713256005")</f>
        <v>713256005</v>
      </c>
      <c r="B100" s="2" t="s">
        <v>405</v>
      </c>
      <c r="C100" s="2" t="s">
        <v>406</v>
      </c>
      <c r="D100" s="2" t="s">
        <v>30</v>
      </c>
      <c r="E100" s="2" t="s">
        <v>16</v>
      </c>
      <c r="F100" s="2" t="s">
        <v>397</v>
      </c>
      <c r="G100" s="2" t="s">
        <v>398</v>
      </c>
      <c r="H100" s="2" t="s">
        <v>19</v>
      </c>
      <c r="I100" s="2" t="s">
        <v>407</v>
      </c>
      <c r="J100" s="3" t="n">
        <v>34.0</v>
      </c>
      <c r="K100" s="7" t="n">
        <v>0.0</v>
      </c>
      <c r="L100" s="2" t="s">
        <v>21</v>
      </c>
      <c r="M100" s="2" t="s">
        <v>408</v>
      </c>
    </row>
    <row r="101" ht="12.75" customHeight="true">
      <c r="A101" s="5" t="str">
        <f>HYPERLINK("https://devcloud.cn-east-3.huaweicloud.com/projectman/scrum/78b2e310f37c4e28bfb3ef86179ac134/task/detail/713252381","713252381")</f>
        <v>713252381</v>
      </c>
      <c r="B101" s="2" t="s">
        <v>409</v>
      </c>
      <c r="C101" s="2" t="s">
        <v>410</v>
      </c>
      <c r="D101" s="2" t="s">
        <v>30</v>
      </c>
      <c r="E101" s="2" t="s">
        <v>16</v>
      </c>
      <c r="F101" s="2" t="s">
        <v>397</v>
      </c>
      <c r="G101" s="2" t="s">
        <v>398</v>
      </c>
      <c r="H101" s="2" t="s">
        <v>19</v>
      </c>
      <c r="I101" s="2" t="s">
        <v>411</v>
      </c>
      <c r="J101" s="3" t="n">
        <v>16.0</v>
      </c>
      <c r="K101" s="7" t="n">
        <v>0.0</v>
      </c>
      <c r="L101" s="2" t="s">
        <v>21</v>
      </c>
      <c r="M101" s="2" t="s">
        <v>412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2026-10-10T06:33:54Z</dcterms:created>
  <dc:creator>Apache POI</dc:creator>
</cp:coreProperties>
</file>