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作项列表" r:id="rId3" sheetId="1"/>
  </sheets>
</workbook>
</file>

<file path=xl/sharedStrings.xml><?xml version="1.0" encoding="utf-8"?>
<sst xmlns="http://schemas.openxmlformats.org/spreadsheetml/2006/main" count="913" uniqueCount="185">
  <si>
    <t/>
  </si>
  <si>
    <t>编号</t>
  </si>
  <si>
    <t>标题</t>
  </si>
  <si>
    <t>结束时间</t>
  </si>
  <si>
    <t>状态</t>
  </si>
  <si>
    <t>处理人</t>
  </si>
  <si>
    <t>预计开始日期</t>
  </si>
  <si>
    <t>预计结束日期</t>
  </si>
  <si>
    <t>优先级</t>
  </si>
  <si>
    <t>创建时间</t>
  </si>
  <si>
    <t>实际工时</t>
  </si>
  <si>
    <t>完成度</t>
  </si>
  <si>
    <t>类型</t>
  </si>
  <si>
    <t>描述</t>
  </si>
  <si>
    <r>
      <rPr>
        <color indexed="12"/>
        <sz val="11.0"/>
        <rFont val="Calibri"/>
      </rPr>
      <t>小程序-学习中心重组</t>
    </r>
  </si>
  <si>
    <r>
      <rPr>
        <color indexed="12"/>
        <sz val="11.0"/>
        <rFont val="Calibri"/>
      </rPr>
      <t>2026/04/08 10:11:29 GMT+08:00</t>
    </r>
  </si>
  <si>
    <r>
      <rPr>
        <color indexed="12"/>
        <sz val="11.0"/>
        <rFont val="Calibri"/>
      </rPr>
      <t>已关闭</t>
    </r>
  </si>
  <si>
    <r>
      <rPr>
        <color indexed="12"/>
        <sz val="11.0"/>
        <rFont val="Calibri"/>
      </rPr>
      <t>俞振豪</t>
    </r>
  </si>
  <si>
    <r>
      <rPr>
        <color indexed="12"/>
        <sz val="11.0"/>
        <rFont val="Calibri"/>
      </rPr>
      <t>2026/03/12</t>
    </r>
  </si>
  <si>
    <r>
      <rPr>
        <color indexed="12"/>
        <sz val="11.0"/>
        <rFont val="Calibri"/>
      </rPr>
      <t>2026/03/27</t>
    </r>
  </si>
  <si>
    <r>
      <rPr>
        <color indexed="12"/>
        <sz val="11.0"/>
        <rFont val="Calibri"/>
      </rPr>
      <t>高</t>
    </r>
  </si>
  <si>
    <r>
      <rPr>
        <color indexed="12"/>
        <sz val="11.0"/>
        <rFont val="Calibri"/>
      </rPr>
      <t>2025/12/04 16:39:59 GMT+08:00</t>
    </r>
  </si>
  <si>
    <r>
      <rPr>
        <color indexed="12"/>
        <sz val="11.0"/>
        <rFont val="Calibri"/>
      </rPr>
      <t>Story</t>
    </r>
  </si>
  <si>
    <t xml:space="preserve">需求说明
将压铸百科tab和培训课程tab页合成一个“学习中心”tab
</t>
  </si>
  <si>
    <r>
      <rPr>
        <color indexed="12"/>
        <sz val="11.0"/>
        <rFont val="Calibri"/>
      </rPr>
      <t>管理后台-案例库管理</t>
    </r>
  </si>
  <si>
    <r>
      <rPr>
        <color indexed="12"/>
        <sz val="11.0"/>
        <rFont val="Calibri"/>
      </rPr>
      <t>2025/12/02 14:32:04 GMT+08:00</t>
    </r>
  </si>
  <si>
    <t xml:space="preserve">需求说明
小程序原型：https://hbzc6a.axshare.com/?g=4
后台原型：https://exxpdl.axshare.com/?g=4
需求模块
原型
功能点描述
案例库管理
案例列表
案例详情
● 功能名称：案例库管理
● 功能描述：展示和管理所有超云公开的案例；
● 用户角色：所有用户；
● 业务规则：
1. 案例列表按照发布时间倒序排序（超云公开时间）；
2. 运营数据：统计点赞数、评论数、收藏数、复制数；
3. 操作：查看案例详情，置顶/取消置顶（置顶的案例显示在案例库第一位，只能置顶一个），屏蔽/公开（仅控制是否在小程序露出，不影响超云公开）；
4. 如果用户在小程序或超云取消公开案例，后台也隐藏该案例；
5. 案例类型：目前仅支持免费案例，后续增加积分复制案例；
● 交互说明：
1. 筛选：案例ID、账号ID、用户名、案例标题输入关键字后搜索，案例状态和是否置顶下拉框选择，发布时间按日期区间筛选 ； 
2. 查看：点击查看按钮，弹窗打开评论列表或者复制列表；
3. 详情：点击详情按钮，弹窗打开案例详情页；
4. 屏蔽/公开：点击屏蔽按钮，toast提示：是否确认屏蔽？【确定/取消】，确认屏蔽后，屏蔽按钮变为公开；点击公开按钮，toast提示：是否确认公开？【确定/取消】，确认公开后，公开按钮变为屏蔽；
5. 置顶/取消置顶：点击置顶按钮，toast提示：是否确认置顶？【确定/取消】，确认置顶后，按钮变为取消置顶；点击取消置顶按钮，toast提示：是否确认取消置顶？【确定/取消】，确认取消置顶后，取消置顶按钮变为置顶；
评论列表
● 功能名称：案例评论列表
● 功能描述：展示该案例的评论列表；
● 用户角色：所有用户；
● 业务规则：同课程评论；
● 交互说明：同课程评论；
内容分为文字和图片两列
复制列表
● 功能名称：案例复制列表
● 功能描述：展示该案例的复制记录；
● 用户角色：所有用户；
● 业务规则：按复制时间倒序排序；
</t>
  </si>
  <si>
    <r>
      <rPr>
        <color indexed="12"/>
        <sz val="11.0"/>
        <rFont val="Calibri"/>
      </rPr>
      <t>小程序-AI助手</t>
    </r>
  </si>
  <si>
    <r>
      <rPr>
        <color indexed="12"/>
        <sz val="11.0"/>
        <rFont val="Calibri"/>
      </rPr>
      <t>2026/01/09 17:21:48 GMT+08:00</t>
    </r>
  </si>
  <si>
    <r>
      <rPr>
        <color indexed="12"/>
        <sz val="11.0"/>
        <rFont val="Calibri"/>
      </rPr>
      <t>2025/12/01</t>
    </r>
  </si>
  <si>
    <r>
      <rPr>
        <color indexed="12"/>
        <sz val="11.0"/>
        <rFont val="Calibri"/>
      </rPr>
      <t>2025/12/26</t>
    </r>
  </si>
  <si>
    <r>
      <rPr>
        <color indexed="12"/>
        <sz val="11.0"/>
        <rFont val="Calibri"/>
      </rPr>
      <t>中</t>
    </r>
  </si>
  <si>
    <r>
      <rPr>
        <color indexed="12"/>
        <sz val="11.0"/>
        <rFont val="Calibri"/>
      </rPr>
      <t>2025/12/02 14:29:14 GMT+08:00</t>
    </r>
  </si>
  <si>
    <t xml:space="preserve">需求说明
小程序原型：https://hbzc6a.axshare.com/?g=4
后台原型：https://exxpdl.axshare.com/?g=4
需求模块
原型
功能点描述
铸问AI+
● 功能名称：铸问AI+助手
● 功能描述：提供AI对话助手，帮助用户解决问题；
● 用户角色：所有用户；
● 业务规则：
1. AI助手作为悬浮按钮，仅出现在有问必答页面；
● 交互说明：
1. 点击悬浮按钮，进入对话页，可点击返回按钮返回；
对话页
● 功能名称：铸问AI+-对话
● 功能描述：提供AI对话功能；
● 用户角色：所有用户；
● 业务规则：
1. 用户提交问题后新建一个会话，当用户主动退出AI对话页，关闭会话，用户之后在浏览历史中回顾；
● 交互说明：
1. 点击预设问题，直接发送问题给AI，AI组织回复；
2. 问题提交后，AI思考中，显示中间过渡；
3. AI回答问题：逐行回复，给用户阅读时间，不要一大段全部丢给用户；
历史记录
● 功能名称：铸问AI+-历史记录
● 功能描述：展示所有对话的历史记录；
● 用户角色：所有用户；
● 业务规则：
1. 按月份折叠，同一个月份的会话展示在一起，以会话创建的时间倒序，会话标题显示用户在会话中发送的第一个问题；
2.历史记录支持删除；
● 交互说明：
1. 点击月份展开所有会话历史；
2. 点击对话跳转对话页，显示会话历史对话内容，不显示开场白内容；
</t>
  </si>
  <si>
    <r>
      <rPr>
        <color indexed="12"/>
        <sz val="11.0"/>
        <rFont val="Calibri"/>
      </rPr>
      <t>个人中心-案例库相关</t>
    </r>
  </si>
  <si>
    <r>
      <rPr>
        <color indexed="12"/>
        <sz val="11.0"/>
        <rFont val="Calibri"/>
      </rPr>
      <t>2025/12/02 14:15:10 GMT+08:00</t>
    </r>
  </si>
  <si>
    <t xml:space="preserve">需求说明
小程序原型：https://hbzc6a.axshare.com/?g=4
后台原型：https://exxpdl.axshare.com/?g=4
个人中心-发布
查看他人主页
本人主页-发布-仿真案例库
详情
● 功能名称：个人中心-仿真案例
● 功能描述：展示用户发布的案例；
● 用户角色：所有用户；
● 业务规则：
1. 在发布tab下新增区分问答和仿真案例；
2. 取消公开：用户在小程序取消公开案例后，超云同步取消公开，案例库中不再显示该案例，管理后台也不再显示该案例；
● 交互说明：
1. 点击“问答”和“仿真案例”tab切换下方内容；
2. 点击案例卡片进入案例详情页，操作上仅支持“取消公开”，点击该按钮后，二次弹窗确认：取消公开后，案例将被下架，是否确认取消【确定/取消】，反馈成功或失败；
个人中心-收藏
个人中心-收藏-案例
● 功能名称：个人中心-收藏案例
● 功能描述：展示用户收藏的案例；
● 用户角色：所有用户；
● 业务规则：
1. 在收藏tab下新增区分问答和仿真案例；
2. 取消收藏：进入详情页点击按钮取消收藏；
● 交互说明：
1. 点击“问答”和“仿真案例”tab切换下方内容；
2. 点击案例卡片进入案例详情页，点击取消收藏按钮“取消收藏”；
个人中心-我的回答
本人评论过案例
● 功能名称：个人中心-案例评论
● 功能描述：展示用户对案例的评论；
● 用户角色：所有用户；
● 业务规则：
1. 在我的回答tab下新增案例的评论；
2. 案例评论：提示语为“你评论了仿真案例”，显示模型图和案例标题；
● 交互说明：
1. 点击评论跳转案例详情页；
个人中心-互动
案例收到评论
案例被收藏或点赞或复制
● 功能名称：个人中心-案例互动
● 功能描述：展示用户发布的案例被他人点赞、收藏的消息；
● 用户角色：所有用户；
● 业务规则：
1. 在互动tab下新增案例的点赞、收藏消息、评论消息；
● 交互说明：
1. 点击消息或评论卡片跳转案例详情页；
</t>
  </si>
  <si>
    <r>
      <rPr>
        <color indexed="12"/>
        <sz val="11.0"/>
        <rFont val="Calibri"/>
      </rPr>
      <t>小程序-案例库</t>
    </r>
  </si>
  <si>
    <r>
      <rPr>
        <color indexed="12"/>
        <sz val="11.0"/>
        <rFont val="Calibri"/>
      </rPr>
      <t>2025/12/02 14:12:11 GMT+08:00</t>
    </r>
  </si>
  <si>
    <t xml:space="preserve">需求说明
小程序原型：https://hbzc6a.axshare.com/?g=4
后台原型：https://exxpdl.axshare.com/?g=4
案例库首页
● 功能名称：案例库
● 功能描述：展示所有用户在超云公开的案例；
● 用户角色：所有用户；
● 业务规则：
1. 支持筛选排序，筛选项有“全部推荐”、“最新发布”、“最多查看”、“最多点赞”、“最多复制”，全部推荐：所有案例按照评分排序，最新发布：所有案例按照发布时间倒序排序，最多查看：所有案例按照浏览量倒序排序，最多点赞：所有案例按照点赞数倒序排序，最多复制：所有案例按照被复制数倒序排序；
兜底排序：公开时间倒序
2. 案例评分规则：复制数权重为1，收藏数权重为0.8，点赞数权重为0.6，浏览量权重为0.4，发布时间权重为0.2；
总分=复制数*权重+收藏数*权重+点赞数*权重+浏览量*权重+发布时间得分*权重；
发布时间得分：7天内新发布的案例得20分，7-30天内发布的案例得10分，超过30天得5分；
3. 后台置顶的案例在“全部”下排第一位；
4. 用户在超云公开案例后，需要创建对应的小程序用户，并存储案例数据；
5. 首页无须登录；
6. 支持按照关键字搜索，搜索结果呈现参照首页；
● 交互说明：
1. 加载及刷新方式参照帖子；
2. 点击各个筛选项后刷新页面，重新排序；
3. 点击案例卡片，打开案例详情页；
案例详情页
图片结果
视频结果
获取案例成功
● 功能名称：案例详情
● 功能描述：展示案例详情（超云计算完成的任务）；
● 用户角色：所有用户；
● 业务规则：
1. 任务详情菜单下显示模型图；
2. 根据案例数据，充填结果、凝固结果、应力结果这几个按钮只显示有数据的，比如这个任务是仅凝固的，那就只显示凝固结果按钮；
3. 免费获取完整案例：该按钮只有共享模式为“允许一键复制”且为无偿共享才显示，点击该按钮在用户的超云账号下复制项目和任务，成功或失败需要给回调，为用户显示复制结果；
4. 详情页查看不需要登录，进行操作需要登录；
5.复制数：只有允许被复制的案例才会显示；
6.当超云传递的案例名称为空时，取任务名称作为仿真案例的名称；
● 交互说明：
1. 点击用户头像和用户名跳转用户主页；
2. 点击分享按钮，分享案例详情页；
3. 点击“充填结果”、“凝固结果”、“应力结果”切换下方图片及视频结果；
4. 点击“任务详情”、“图片结果”、“视频结果”，切换下方的内容；
5. 点击对应图片或视频缩略图，切换上方的图片或视频，视频使用原生组件；若图片或视频缩略图太多，可通过左右滑动切换查看；
6. 点击“免费获取完整案例”，获取成功或失败后，给对应提示，获取成功后不再显示该按钮；
7. 评论栏功能和交互参考帖子评论，但只支持一级评论，支持图片；
● 数据说明：
1.需要超云传数据：
a.案例信息：模型缩略图、项目名称、任务名称、案例名称、案例简介、案例简介、案例标签、共享模式（允许一键复制、仅公开浏览）、复制价格；
b.任务信息：充填网格数、流动网格数、应力网格数、任务计算开始时间、任务计算结束时间、3D结果（充填、凝固、应力的所有各个视角后处理结果图片及视频）；
案例库与超云交互流程
</t>
  </si>
  <si>
    <r>
      <rPr>
        <color indexed="12"/>
        <sz val="11.0"/>
        <rFont val="Calibri"/>
      </rPr>
      <t>小程序-有问必答帖子详情加载优化</t>
    </r>
  </si>
  <si>
    <r>
      <rPr>
        <color indexed="12"/>
        <sz val="11.0"/>
        <rFont val="Calibri"/>
      </rPr>
      <t>2025/12/26 17:12:34 GMT+08:00</t>
    </r>
  </si>
  <si>
    <r>
      <rPr>
        <color indexed="12"/>
        <sz val="11.0"/>
        <rFont val="Calibri"/>
      </rPr>
      <t>2025/11/03</t>
    </r>
  </si>
  <si>
    <r>
      <rPr>
        <color indexed="12"/>
        <sz val="11.0"/>
        <rFont val="Calibri"/>
      </rPr>
      <t>2025/11/30</t>
    </r>
  </si>
  <si>
    <r>
      <rPr>
        <color indexed="12"/>
        <sz val="11.0"/>
        <rFont val="Calibri"/>
      </rPr>
      <t>2025/12/02 10:55:14 GMT+08:00</t>
    </r>
  </si>
  <si>
    <t xml:space="preserve"> 作为 &lt;用户角色&gt;
 我想要 &lt;结果&gt;
 以便于 &lt;目的&gt; 
</t>
  </si>
  <si>
    <r>
      <rPr>
        <color indexed="12"/>
        <sz val="11.0"/>
        <rFont val="Calibri"/>
      </rPr>
      <t>【推荐】帖子置顶</t>
    </r>
  </si>
  <si>
    <r>
      <rPr>
        <color indexed="12"/>
        <sz val="11.0"/>
        <rFont val="Calibri"/>
      </rPr>
      <t>2025/11/13 13:43:10 GMT+08:00</t>
    </r>
  </si>
  <si>
    <r>
      <rPr>
        <color indexed="12"/>
        <sz val="11.0"/>
        <rFont val="Calibri"/>
      </rPr>
      <t>2025/11/07</t>
    </r>
  </si>
  <si>
    <r>
      <rPr>
        <color indexed="12"/>
        <sz val="11.0"/>
        <rFont val="Calibri"/>
      </rPr>
      <t>2025/11/03 17:26:13 GMT+08:00</t>
    </r>
  </si>
  <si>
    <t xml:space="preserve">需求说明
小程序原型：https://hbzc6a.axshare.com/?g=4
后台原型：https://exxpdl.axshare.com/?g=4
设计图：https://mastergo.com/file/164826850168556?fileOpenFrom=home&amp;page_id=324%3A4895
原型
管理后台-帖子管理-置顶
小程序-推荐tab
规则说明
1.同时只能存在一条帖子被置顶，如果已存在置顶的帖子，再置顶其余帖子会顶替；
2.被置顶的帖子会固定显示在推荐tab的第一位，不受推荐规则影响；
3.置顶与精选操作独立互不影响；
交互说明
1.点击“置顶”按钮，帖子置顶，按钮变为“取消置顶”；
2.如果置顶的帖子被顶替，该帖子的“置顶”按钮变为“取消置顶”;
</t>
  </si>
  <si>
    <r>
      <rPr>
        <color indexed="12"/>
        <sz val="11.0"/>
        <rFont val="Calibri"/>
      </rPr>
      <t>个人中心-用户头像</t>
    </r>
  </si>
  <si>
    <r>
      <rPr>
        <color indexed="12"/>
        <sz val="11.0"/>
        <rFont val="Calibri"/>
      </rPr>
      <t>2025/10/16 14:40:19 GMT+08:00</t>
    </r>
  </si>
  <si>
    <t xml:space="preserve">需求说明
1.用户注册后默认头像从固定的1张图变为20张图随机取；
2.获得头像后需要保存到数据库；
3.已有用户需要更新头像；
</t>
  </si>
  <si>
    <r>
      <rPr>
        <color indexed="12"/>
        <sz val="11.0"/>
        <rFont val="Calibri"/>
      </rPr>
      <t>个人中心-我的课程</t>
    </r>
  </si>
  <si>
    <r>
      <rPr>
        <color indexed="12"/>
        <sz val="11.0"/>
        <rFont val="Calibri"/>
      </rPr>
      <t>2025/10/11 09:38:21 GMT+08:00</t>
    </r>
  </si>
  <si>
    <t xml:space="preserve">需求说明
小程序原型：https://hbzc6a.axshare.com/?g=4
后台原型：https://exxpdl.axshare.com/?g=4
我的课程
● 功能名称：我的课程
● 功能描述：展示用户解锁的所有课程；
● 用户角色：所有用户；
● 业务规则：
1. 解锁课程后会显示在该页面，课程卡片按解锁时间（免费课程为创建时间）倒序排序；
2. 免费课程及后台添加的课程也在此显示，样式按照培训课程；
● 交互说明：
1. 点击课程卡片打开课程详情页；
</t>
  </si>
  <si>
    <r>
      <rPr>
        <color indexed="12"/>
        <sz val="11.0"/>
        <rFont val="Calibri"/>
      </rPr>
      <t>个人中心-浏览历史</t>
    </r>
  </si>
  <si>
    <r>
      <rPr>
        <color indexed="12"/>
        <sz val="11.0"/>
        <rFont val="Calibri"/>
      </rPr>
      <t>2025/10/11 09:38:05 GMT+08:00</t>
    </r>
  </si>
  <si>
    <t xml:space="preserve">需求说明
小程序原型：https://hbzc6a.axshare.com/?g=4
后台原型：https://exxpdl.axshare.com/?g=4
浏览历史
有问必答
课程
案例库
● 功能名称：浏览历史
● 功能描述：展示用户所有的问答、案例库、课程浏览记录；
● 用户角色：所有用户；
● 业务规则：
1. 分为有问必答、案例库、课程三个tab，以浏览时间倒序排序；
2. 只显示最近90天的记录；
● 交互说明：
1. 点击tab按钮切换对应记录；
2. 点击卡片主体跳转对应详情页；
</t>
  </si>
  <si>
    <r>
      <rPr>
        <color indexed="12"/>
        <sz val="11.0"/>
        <rFont val="Calibri"/>
      </rPr>
      <t>个人中心-我的积分</t>
    </r>
  </si>
  <si>
    <r>
      <rPr>
        <color indexed="12"/>
        <sz val="11.0"/>
        <rFont val="Calibri"/>
      </rPr>
      <t>新建</t>
    </r>
  </si>
  <si>
    <r>
      <rPr>
        <color indexed="12"/>
        <sz val="11.0"/>
        <rFont val="Calibri"/>
      </rPr>
      <t>2025/10/11 09:37:51 GMT+08:00</t>
    </r>
  </si>
  <si>
    <t xml:space="preserve">需求说明
小程序原型：https://hbzc6a.axshare.com/?g=4
后台原型：https://exxpdl.axshare.com/?g=4
需求模块
原型
功能点描述
我的积分
● 功能名称：我的积分
● 功能描述：展示用户所有的积分获取、消耗记录；
● 用户角色：所有用户；
● 业务规则：
1. 积分获取规则：获取积分的行为见下表，小程序每日获取积分上限500分，此时0:00重置；用户获取的积分自获得之日起有效期为365天，过期积分将会被清除（生成一条消耗记录）；
2. 与超云积分的关系：生态的积分分为两部分，超云的积分和小程序的积分，超云积分获取方式不变且只可获取不可在超云消耗（后续增加功能统一在小程序积分商城兑换消耗）。此次新增小程序积分获取，小程序显示的积分总额即生态的积分；
3. 超云积分数据获取：通过查询手机号在超云的账号积分数据，获取相关数据，无关企业账号or个人账号，以手机号为唯一关联；
4. 分为全部、已获得、已消耗三个tab，以积分获取/消耗时间倒序排序；
● 交互说明：
1. 点击tab按钮切换积分记录；
2. 点击“积分获取规则”跳转积分规则页面；
小程序积分获取行为
行为
奖励积分数
规则
积分记录标题
签到
连续签到3天：额外奖励30分；
连续签到7天：额外奖励80分；
连续签到15天：额外奖励200分；
连续签到30天：额外奖励500分；
1.用户当日打开一次小程序视为签到成功；
2.连续签到中断：如果用户中断签到，连续签到天数将重新计算；
连续签到x天
浏览帖子
浏览一个帖子可获得基础积分5分；
1.进入帖子详情页算一次有效浏览；
2.用户每日最多通过浏览帖子获取150积分；
浏览帖子内容
评论帖子
每条评论可获得10积分；
1.评论帖子字数不少于10个字；
2.用户每日最多通过发表评论获取200积分；
评论帖子
发帖
发布成功一条帖子可获得20积分；
帖子被系统设为“精选帖子”，获得20分；
帖子每获得一个点赞，获得3分；
1.每日帖子被点赞积分上限位50分（点赞3天内取消扣除积分，3天后取消不扣除积分）；
2.每日发布帖子获取积分上限100分（发帖3天内删除扣除积分，3天后删除不扣除积分）；
发帖成功
帖子被系统设为精选
帖子被点赞
删除帖子
完善信息
用户在小程序内完善个人身份信息后获得20积分；
需完整包含：头像、昵称、性别、地区、个人简介
完善个人信息
粉丝量达标
粉丝量达到50：奖励100分
粉丝量达到100：奖励200分
粉丝量达到200：奖励300分 
掉粉不扣除积分
粉丝量达到xx
</t>
  </si>
  <si>
    <r>
      <rPr>
        <color indexed="12"/>
        <sz val="11.0"/>
        <rFont val="Calibri"/>
      </rPr>
      <t>个人中心-互动</t>
    </r>
  </si>
  <si>
    <r>
      <rPr>
        <color indexed="12"/>
        <sz val="11.0"/>
        <rFont val="Calibri"/>
      </rPr>
      <t>2025/10/11 09:36:19 GMT+08:00</t>
    </r>
  </si>
  <si>
    <t xml:space="preserve">需求说明
小程序原型：https://hbzc6a.axshare.com/?g=4
后台原型：https://exxpdl.axshare.com/?g=4
原型
互动-获赞&amp;收藏
互动-收到回答-被@
规则说明
1.互动-收藏：用户发布的帖子被别人收藏时，新增一条收藏消息；
2.被其他用户@时，在互动-收到回答中新增一条消息；
交互说明
1.点击收藏、@消息跳转帖子详情页；
</t>
  </si>
  <si>
    <r>
      <rPr>
        <color indexed="12"/>
        <sz val="11.0"/>
        <rFont val="Calibri"/>
      </rPr>
      <t>个人中心-我的回答</t>
    </r>
  </si>
  <si>
    <r>
      <rPr>
        <color indexed="12"/>
        <sz val="11.0"/>
        <rFont val="Calibri"/>
      </rPr>
      <t>2025/10/11 09:35:51 GMT+08:00</t>
    </r>
  </si>
  <si>
    <t xml:space="preserve">需求说明
小程序原型：https://hbzc6a.axshare.com/?g=4
后台原型：https://exxpdl.axshare.com/?g=4
原型
回答
规则说明
1.我的回答：显示用户本人的有问必答评论列表，按评论时间倒序；
交互说明
1.点击评论跳转帖子详情页；
</t>
  </si>
  <si>
    <r>
      <rPr>
        <color indexed="12"/>
        <sz val="11.0"/>
        <rFont val="Calibri"/>
      </rPr>
      <t>个人中心-收藏</t>
    </r>
  </si>
  <si>
    <r>
      <rPr>
        <color indexed="12"/>
        <sz val="11.0"/>
        <rFont val="Calibri"/>
      </rPr>
      <t>2025/10/11 09:35:29 GMT+08:00</t>
    </r>
  </si>
  <si>
    <t xml:space="preserve">需求说明
小程序原型：https://hbzc6a.axshare.com/?g=4
后台原型：https://exxpdl.axshare.com/?g=4
原型
收藏
在线课程
规则说明
1.收藏：显示用户收藏的帖子和课程列表；
交互说明
1.点击tab切换帖子和课程，点击帖子卡片和课程卡片跳转帖子详情和课程详情；
</t>
  </si>
  <si>
    <r>
      <rPr>
        <color indexed="12"/>
        <sz val="11.0"/>
        <rFont val="Calibri"/>
      </rPr>
      <t>个人中心-关注/粉丝列表</t>
    </r>
  </si>
  <si>
    <r>
      <rPr>
        <color indexed="12"/>
        <sz val="11.0"/>
        <rFont val="Calibri"/>
      </rPr>
      <t>2025/10/11 09:33:28 GMT+08:00</t>
    </r>
  </si>
  <si>
    <t xml:space="preserve">需求说明
小程序原型：https://hbzc6a.axshare.com/?g=4
后台原型：https://exxpdl.axshare.com/?g=4
原型
规则说明
1.关注列表：显示关注的用户列表；
2.粉丝列表：显示被关注的用户列表；
3.关注、粉丝列表分页，不支持搜索；
交互说明
1.点击个人主页“关注”，打开关注列表，点击“粉丝”，打开粉丝列表；
</t>
  </si>
  <si>
    <r>
      <rPr>
        <color indexed="12"/>
        <sz val="11.0"/>
        <rFont val="Calibri"/>
      </rPr>
      <t>有问必答-帖子详情</t>
    </r>
  </si>
  <si>
    <r>
      <rPr>
        <color indexed="12"/>
        <sz val="11.0"/>
        <rFont val="Calibri"/>
      </rPr>
      <t>2025/11/20 14:06:03 GMT+08:00</t>
    </r>
  </si>
  <si>
    <r>
      <rPr>
        <color indexed="12"/>
        <sz val="11.0"/>
        <rFont val="Calibri"/>
      </rPr>
      <t>2025/10/10</t>
    </r>
  </si>
  <si>
    <r>
      <rPr>
        <color indexed="12"/>
        <sz val="11.0"/>
        <rFont val="Calibri"/>
      </rPr>
      <t>2025/10/31</t>
    </r>
  </si>
  <si>
    <r>
      <rPr>
        <color indexed="12"/>
        <sz val="11.0"/>
        <rFont val="Calibri"/>
      </rPr>
      <t>2025/10/10 16:12:36 GMT+08:00</t>
    </r>
  </si>
  <si>
    <t xml:space="preserve">需求说明
小程序原型：https://hbzc6a.axshare.com/?g=4
后台原型：https://exxpdl.axshare.com/?g=4
设计图：https://mastergo.com/file/164826850168556?fileOpenFrom=home&amp;page_id=324%3A4895
原型
详情页话题与@
标记地点
交互说明
1.点击话题跳转热门话题搜索结果页，可返回；
2.点击@用户跳转用户个人主页（若@自己则不跳转）；
3.标记地点只可查看不可点击；
</t>
  </si>
  <si>
    <r>
      <rPr>
        <color indexed="12"/>
        <sz val="11.0"/>
        <rFont val="Calibri"/>
      </rPr>
      <t>管理后台-课程管理增加评论</t>
    </r>
  </si>
  <si>
    <r>
      <rPr>
        <color indexed="12"/>
        <sz val="11.0"/>
        <rFont val="Calibri"/>
      </rPr>
      <t>2025/10/10 13:37:37 GMT+08:00</t>
    </r>
  </si>
  <si>
    <t xml:space="preserve">需求说明
小程序原型：https://hbzc6a.axshare.com/?g=4
后台原型：https://exxpdl.axshare.com/?g=4
原型
课程列表
课程评论
规则说明
1.  屏蔽的评论不会在用户端露出；
交互说明
1. 点击评论栏的查看按钮，弹窗显示该课程的所有评论；
2.删除：点击删除按钮，toast提示：是否确认删除【确定/取消】；
3. 屏蔽/公开：点击屏蔽按钮，toast提示：是否确认屏蔽？【确定/取消】，确认屏蔽后，屏蔽按钮变为公开；点击公开按钮，toast提示：是否确认公开？【确定/取消】，确认公开后，公开按钮变为屏蔽；
</t>
  </si>
  <si>
    <r>
      <rPr>
        <color indexed="12"/>
        <sz val="11.0"/>
        <rFont val="Calibri"/>
      </rPr>
      <t>培训课程-课程评论</t>
    </r>
  </si>
  <si>
    <r>
      <rPr>
        <color indexed="12"/>
        <sz val="11.0"/>
        <rFont val="Calibri"/>
      </rPr>
      <t>2025/10/10 11:02:56 GMT+08:00</t>
    </r>
  </si>
  <si>
    <t xml:space="preserve">小程序原型：https://hbzc6a.axshare.com/?g=4
后台原型：https://exxpdl.axshare.com/?g=4
设计图：https://mastergo.com/file/164826850168556?fileOpenFrom=home&amp;page_id=324%3A4895
原型
规则说明
1.已购买的用户才会显示评论栏；
2.评论的排序按发布时间倒序；
3.评论只支持一级；
4.课程的评论不会显示在个人中心-回答；
交互说明
1.点击评论栏，弹出评论输入框输入评论后发表；
</t>
  </si>
  <si>
    <r>
      <rPr>
        <color indexed="12"/>
        <sz val="11.0"/>
        <rFont val="Calibri"/>
      </rPr>
      <t>培训课程-收藏课程</t>
    </r>
  </si>
  <si>
    <r>
      <rPr>
        <color indexed="12"/>
        <sz val="11.0"/>
        <rFont val="Calibri"/>
      </rPr>
      <t>2025/10/10 11:02:31 GMT+08:00</t>
    </r>
  </si>
  <si>
    <t xml:space="preserve">小程序原型：https://hbzc6a.axshare.com/?g=4
后台原型：https://exxpdl.axshare.com/?g=4
设计图：https://mastergo.com/file/164826850168556?fileOpenFrom=home&amp;page_id=324%3A4895
原型
个人中心-收藏
规则说明
1.收藏的课程会显示在个人中心-收藏tab课程栏；
2.被下架的课程不会显示在收藏；
交互说明
1.收藏：点击收藏按钮，收藏数+1，按钮高亮，取消则反之；
</t>
  </si>
  <si>
    <r>
      <rPr>
        <color indexed="12"/>
        <sz val="11.0"/>
        <rFont val="Calibri"/>
      </rPr>
      <t>有问必答-收藏帖子</t>
    </r>
  </si>
  <si>
    <r>
      <rPr>
        <color indexed="12"/>
        <sz val="11.0"/>
        <rFont val="Calibri"/>
      </rPr>
      <t>2025/10/10 11:02:14 GMT+08:00</t>
    </r>
  </si>
  <si>
    <t xml:space="preserve">小程序原型：https://hbzc6a.axshare.com/?g=4
后台原型：https://exxpdl.axshare.com/?g=4
设计图：https://mastergo.com/file/164826850168556?fileOpenFrom=home&amp;page_id=324%3A4895
原型
首页最多收藏打开
个人中心-收藏
规则说明
1.收藏的帖子会显示在个人中心-收藏tab帖子栏；
2.被屏蔽的帖子不会显示在收藏；
交互说明
1.收藏：点击收藏按钮，收藏数+1，按钮高亮，取消则反之；
</t>
  </si>
  <si>
    <r>
      <rPr>
        <color indexed="12"/>
        <sz val="11.0"/>
        <rFont val="Calibri"/>
      </rPr>
      <t>有问必答-搜索新增热门话题</t>
    </r>
  </si>
  <si>
    <r>
      <rPr>
        <color indexed="12"/>
        <sz val="11.0"/>
        <rFont val="Calibri"/>
      </rPr>
      <t>2025/10/10 11:01:54 GMT+08:00</t>
    </r>
  </si>
  <si>
    <t xml:space="preserve">小程序原型：https://hbzc6a.axshare.com/?g=4
后台原型：https://exxpdl.axshare.com/?g=4
设计图：https://mastergo.com/file/164826850168556?fileOpenFrom=home&amp;page_id=324%3A4895
原型
搜索页
热门话题搜索结果
规则说明
1.“热门话题”：显示管理后台的前5个话题，作为热门话题；
2.“热门话题”搜索规则：筛选出带有该话题标签的帖子，并显示在搜索结果页；
3. 热门话题的点击不会显示在搜索历史；
交互说明
1.在搜索页点击“热门话题”，跳转热门话题搜索结果页，点击X和返回按钮，回到搜索页；
</t>
  </si>
  <si>
    <r>
      <rPr>
        <color indexed="12"/>
        <sz val="11.0"/>
        <rFont val="Calibri"/>
      </rPr>
      <t>有问必答-发布帖子新增话题@标记地点</t>
    </r>
  </si>
  <si>
    <r>
      <rPr>
        <color indexed="12"/>
        <sz val="11.0"/>
        <rFont val="Calibri"/>
      </rPr>
      <t>2025/10/10 11:01:26 GMT+08:00</t>
    </r>
  </si>
  <si>
    <t xml:space="preserve">需求说明
小程序原型：https://hbzc6a.axshare.com/?g=4
后台原型：https://exxpdl.axshare.com/?g=4
设计图：https://mastergo.com/file/164826850168556?fileOpenFrom=home&amp;page_id=324%3A4895
原型
选择话题
@用户
标记地点
选中后
规则说明
1.@用户只能在正文编辑时使用，标题不可用，@用户弹窗的显示顺序：优先显示用户本人关注的用户（按字母排序），用户本人不可选；
2.选择话题弹窗不分页，选择用户弹窗需要分页；
3.@用户的帖子在审核通过上架后，需要在被@的用户的个人中心-互动中增加一条消息；
交互说明
1.话题编辑：点击”#话题“按钮，从屏幕下方弹出话题配置弹窗，支持按话题关键字搜索（话题由后台管理），点击对应的话题选中，选中的话题会显示在搜索栏下方同时不再显示在候选话题栏，可点击”x“取消选中，点击”完成“按钮后，关闭弹窗，选中的话题显示在内容编辑栏的底部，如话题一行显示不完整支持左右滑动查看，最多关联3个；
2.@用户：点击“@用户”按钮，从屏幕下方弹出话题配置弹窗，支持按用户名关键字搜索用户，一次只能@一名用户，选中该用户后，弹窗关闭，同时在内容编辑栏增加“@xxxx”字样，如需取消@，正文删除文本即可；
3. 标记地点：点击“标记地点”，弹窗提示获取定位授权，如已授权则不用再弹出，获取授权后进入地址选择页，可选择不显示位置或选择附近的地点，选中后返回帖子编辑页，并在标记地点按钮下方显示选中的地点；
</t>
  </si>
  <si>
    <r>
      <rPr>
        <color indexed="12"/>
        <sz val="11.0"/>
        <rFont val="Calibri"/>
      </rPr>
      <t>【派单系统】应力、专家报告、专家讲解一口价调整</t>
    </r>
  </si>
  <si>
    <r>
      <rPr>
        <color indexed="12"/>
        <sz val="11.0"/>
        <rFont val="Calibri"/>
      </rPr>
      <t>2025/09/09 14:16:23 GMT+08:00</t>
    </r>
  </si>
  <si>
    <t xml:space="preserve">需求说明
1.应力、专家报告、专家讲解一口价调整；
原价
新价
应力
1000
300
专家报告
500
200
专家讲解
500
200
2.模流分析与模具设计的Request More前端页面的价格也对应调整；
</t>
  </si>
  <si>
    <r>
      <rPr>
        <color indexed="12"/>
        <sz val="11.0"/>
        <rFont val="Calibri"/>
      </rPr>
      <t>【派单系统】模流分析和模具设计报价计算公式系数调整</t>
    </r>
  </si>
  <si>
    <r>
      <rPr>
        <color indexed="12"/>
        <sz val="11.0"/>
        <rFont val="Calibri"/>
      </rPr>
      <t>2025/09/09 14:17:19 GMT+08:00</t>
    </r>
  </si>
  <si>
    <r>
      <rPr>
        <color indexed="12"/>
        <sz val="11.0"/>
        <rFont val="Calibri"/>
      </rPr>
      <t>2025/09/03 10:37:11 GMT+08:00</t>
    </r>
  </si>
  <si>
    <t xml:space="preserve">需求背景
派单系统生产环境的报价计算公式有一个3倍系数，导致价格偏高，转化率极低，目前在泰国进行会展，期望降低价格增加转化。
需求说明
1.模流分析和模具设计报价计算公式的系数，抽象为一个参数，可配置，目前设为1（包括基础价格）。
2.应力、专家报告、专家讲解一口价调整
原价
新价
应力
1000
300
专家报告
500
200
专家讲解
500
200
</t>
  </si>
  <si>
    <r>
      <rPr>
        <color indexed="12"/>
        <sz val="11.0"/>
        <rFont val="Calibri"/>
      </rPr>
      <t>【派单管理后台】新增财务管理</t>
    </r>
  </si>
  <si>
    <r>
      <rPr>
        <color indexed="12"/>
        <sz val="11.0"/>
        <rFont val="Calibri"/>
      </rPr>
      <t>2025/07/03 16:19:50 GMT+08:00</t>
    </r>
  </si>
  <si>
    <r>
      <rPr>
        <color indexed="12"/>
        <sz val="11.0"/>
        <rFont val="Calibri"/>
      </rPr>
      <t>2025/06/26 14:03:48 GMT+08:00</t>
    </r>
  </si>
  <si>
    <t xml:space="preserve">需求说明
1.订单管理列表页，确认收款按钮，增加弹窗，记录到款时间，需要精确到年月日时分秒；
2.新增财务管理页（交付完成的订单才会在此显示），记录订单提交时间、到款时间（确认收款时填写的时间）、交付时间（上传交付材料的时间），及双签合同的上传留档和下载查看；
</t>
  </si>
  <si>
    <r>
      <rPr>
        <color indexed="12"/>
        <sz val="11.0"/>
        <rFont val="Calibri"/>
      </rPr>
      <t>【派单系统】首次登录派单系统拉新弹窗</t>
    </r>
  </si>
  <si>
    <r>
      <rPr>
        <color indexed="12"/>
        <sz val="11.0"/>
        <rFont val="Calibri"/>
      </rPr>
      <t>2025/07/03 16:19:45 GMT+08:00</t>
    </r>
  </si>
  <si>
    <r>
      <rPr>
        <color indexed="12"/>
        <sz val="11.0"/>
        <rFont val="Calibri"/>
      </rPr>
      <t>2025/06/24 17:53:09 GMT+08:00</t>
    </r>
  </si>
  <si>
    <t xml:space="preserve">需求说明
本次功能上线后，用户首次登录派单系统时弹出，后续登录不弹；
</t>
  </si>
  <si>
    <r>
      <rPr>
        <color indexed="12"/>
        <sz val="11.0"/>
        <rFont val="Calibri"/>
      </rPr>
      <t>管理后台-培训课程banner管理</t>
    </r>
  </si>
  <si>
    <r>
      <rPr>
        <color indexed="12"/>
        <sz val="11.0"/>
        <rFont val="Calibri"/>
      </rPr>
      <t>2025/10/16 09:32:07 GMT+08:00</t>
    </r>
  </si>
  <si>
    <r>
      <rPr>
        <color indexed="12"/>
        <sz val="11.0"/>
        <rFont val="Calibri"/>
      </rPr>
      <t>2025/08/01</t>
    </r>
  </si>
  <si>
    <r>
      <rPr>
        <color indexed="12"/>
        <sz val="11.0"/>
        <rFont val="Calibri"/>
      </rPr>
      <t>2025/08/31</t>
    </r>
  </si>
  <si>
    <r>
      <rPr>
        <color indexed="12"/>
        <sz val="11.0"/>
        <rFont val="Calibri"/>
      </rPr>
      <t>2025/06/23 15:36:16 GMT+08:00</t>
    </r>
  </si>
  <si>
    <t xml:space="preserve">需求说明
小程序原型：https://hbzc6a.axshare.com/?g=4
后台原型：https://exxpdl.axshare.com/?g=4
原型
新增/编辑页
规则说明
1.  屏蔽的banner不会在用户端露出；
2.  删除banner后，列表页删除该条数据同时不会在用户端露出；
3.  编辑课程后，所有字段可编辑；
4.  排序：用户端培训课程首页banner的排序由后台的顺序决定；
5. 跳转链接：可以是公众号文章、课程详情页、线下培训报名页，其中如果要选择课程详情页和线下培训报名页，那么课程只能选择已公开的课程，线下培训报名只能选择启用状态的；
交互说明
1.  删除：点击删除按钮，toast提示：是否确认删除【确定/取消】；
2.  屏蔽/公开：点击屏蔽按钮，toast提示：是否确认屏蔽？【确定/取消】，确认屏蔽后，屏蔽按钮变为公开；点击公开按钮，toast提示：是否确认公开？【确定/取消】，确认公开后，公开按钮变为屏蔽；
3.  新增banner：点击新增banner，弹出编辑弹窗，输入banner名称（不超过30个字符）、banner图（支持png、jpg、jpeg格式，大小不超过5M），选择跳转链接类型，输入或选择落地页链接，点击确认按钮完成新增，点击取消按钮关闭窗口；
4.  编辑：点击编辑按钮，弹出编辑弹窗，所有字段可修改，点击确认按钮完成编辑，点击取消按钮关闭窗口；
</t>
  </si>
  <si>
    <r>
      <rPr>
        <color indexed="12"/>
        <sz val="11.0"/>
        <rFont val="Calibri"/>
      </rPr>
      <t>微信支付对接</t>
    </r>
  </si>
  <si>
    <r>
      <rPr>
        <color indexed="12"/>
        <sz val="11.0"/>
        <rFont val="Calibri"/>
      </rPr>
      <t>2025/06/20 09:46:12 GMT+08:00</t>
    </r>
  </si>
  <si>
    <t xml:space="preserve">需求说明
用户小程序购买课程，需要使用微信支付JSAPI
支付流程
订单状态流转
</t>
  </si>
  <si>
    <r>
      <rPr>
        <color indexed="12"/>
        <sz val="11.0"/>
        <rFont val="Calibri"/>
      </rPr>
      <t>管理后台-课程订单</t>
    </r>
  </si>
  <si>
    <r>
      <rPr>
        <color indexed="12"/>
        <sz val="11.0"/>
        <rFont val="Calibri"/>
      </rPr>
      <t>2025/06/19 11:20:53 GMT+08:00</t>
    </r>
  </si>
  <si>
    <t xml:space="preserve"> 需求说明
小程序原型：https://hbzc6a.axshare.com/?g=4
后台原型：https://exxpdl.axshare.com/?g=4
原型
创建订单弹窗
交互说明
1.  筛选：订单ID、微信支付订单ID、用户名、用户ID、手机号、课程名称输入关键字后搜索，订单状态下拉框选择（订单状态枚举最终由后端确定）， 提交时间按日期区间筛选；
2.  退款：点击退款按钮，toast提示：是否确认退款【确定/取消】；
3.创建订单：点击创建订单按钮，弹窗输入用户手机号（支持模糊匹配）、选择课程名称，点击确定，新增一条订单数据，订单支付状态为支付成功；
</t>
  </si>
  <si>
    <r>
      <rPr>
        <color indexed="12"/>
        <sz val="11.0"/>
        <rFont val="Calibri"/>
      </rPr>
      <t>管理后台-线下培训</t>
    </r>
  </si>
  <si>
    <r>
      <rPr>
        <color indexed="12"/>
        <sz val="11.0"/>
        <rFont val="Calibri"/>
      </rPr>
      <t>2025/06/19 11:20:44 GMT+08:00</t>
    </r>
  </si>
  <si>
    <t xml:space="preserve">需求说明
小程序原型：https://hbzc6a.axshare.com/?g=4
后台原型：https://exxpdl.axshare.com/?g=4
原型
线下培训列表
新增线下培训
报名详情
规则说明
1.  线下培训有单独的页面显示；
2.  禁用/启用：控制线下培训生效，同时只能启用一个，新增的线下培训默认是禁用状态，需要手动启用；
3.  删除：逻辑删除；
4.  用户端提交报名表单后，显示在该列表；
5.  报名截止时间默认为截止日期当天23:59:59；
6.  编辑后线下培训ID不变，之后报名的用户依然挂在这线下培训下；
交互说明
1.  筛选：培训主题输入关键字后搜索； 
2.  删除：点击删除按钮，toast提示：是否确认删除【确定/取消】；
3.  启用/禁用：点击启用按钮，toast提示：是否确认启用？【确定/取消】，确认启用后，启用按钮变为禁用；点击公禁用按钮，toast提示：是否确认禁用？【确定/取消】，确认禁用后，禁用按钮变为启用；
4.  新增线下培训：点击新增线下培训 ，弹出编辑弹窗，输入培训主题（不超过100个字符）、培训日期（年月日）、培训时间（小时分钟）、培训地点（不超过100个字符）、培训简介（不超过300个字符）、报名规则（不超过1000个字符）、banner图、报名截止日期（年月日），点击确认按钮完成新增，点击取消按钮关闭窗口；
5.  编辑：点击编辑按钮，弹出编辑弹窗，所有字段可修改，点击确认按钮完成编辑，点击取消按钮关闭窗口；
6.报名详情：点击报名详情，弹窗显示该线下培训对应的报名列表；
</t>
  </si>
  <si>
    <r>
      <rPr>
        <color indexed="12"/>
        <sz val="11.0"/>
        <rFont val="Calibri"/>
      </rPr>
      <t>管理后台-企业培训</t>
    </r>
  </si>
  <si>
    <r>
      <rPr>
        <color indexed="12"/>
        <sz val="11.0"/>
        <rFont val="Calibri"/>
      </rPr>
      <t>2026/01/01</t>
    </r>
  </si>
  <si>
    <r>
      <rPr>
        <color indexed="12"/>
        <sz val="11.0"/>
        <rFont val="Calibri"/>
      </rPr>
      <t>2026/01/15</t>
    </r>
  </si>
  <si>
    <r>
      <rPr>
        <color indexed="12"/>
        <sz val="11.0"/>
        <rFont val="Calibri"/>
      </rPr>
      <t>2025/06/19 11:20:33 GMT+08:00</t>
    </r>
  </si>
  <si>
    <t xml:space="preserve"> 需求说明
小程序原型：https://hbzc6a.axshare.com/?g=4
后台原型：https://exxpdl.axshare.com/?g=4
原型
规则说明
点击标记为已处理按钮，工单状态变为已处理；
交互说明
1.  筛选：姓名、联系方式、单位名称输入关键字后搜索，处理状态下拉框选择， 提交时间按日期区间筛选； 
2.  点击标记为已处理按钮，工单状态和按钮变为已处理；
</t>
  </si>
  <si>
    <r>
      <rPr>
        <color indexed="12"/>
        <sz val="11.0"/>
        <rFont val="Calibri"/>
      </rPr>
      <t>管理后台-课时管理</t>
    </r>
  </si>
  <si>
    <r>
      <rPr>
        <color indexed="12"/>
        <sz val="11.0"/>
        <rFont val="Calibri"/>
      </rPr>
      <t>2025/06/19 11:20:17 GMT+08:00</t>
    </r>
  </si>
  <si>
    <t xml:space="preserve">需求说明
小程序原型：https://hbzc6a.axshare.com/?g=4
后台原型：https://exxpdl.axshare.com/?g=4
原型
课时列表
新增课时
规则说明
1.  屏蔽的课时和评论不会在用户端露出；
2.  删除课时后，已购买的用户依然能看到和学习该课时；
3.  编辑课时后，用户端课时信息更新，已购买的用户也看到的是最新课时；
交互说明
1.  筛选：课程名称、课时名称输 入关键字后搜索，课程类别下拉框选择， 创建时间按日期区间筛选 ； 
2.  删除：点击删除按钮，toast提示：是否确认删除【确定/取消】；
3.  屏蔽/公开：点击屏蔽按钮，toast提示：是否确认屏蔽？【确定/取消】，确认屏蔽后，屏蔽按钮变为公开；点击公开按钮，toast提示：是否确认公开？【确定/取消】，确认公开后，公开按钮变为屏蔽；
4.  新增课时：点击新增课时，弹出编辑弹窗，选择课程、输入课时名称（不超过100个字符）、课时封面（支持png、jpg、jpeg格式，大小不超过5M）、课时视频（支持mp4、avi格式，大小不超过1G）点击确认按钮完成新增，点击取消按钮关闭窗口；
5.  编辑：点击编辑按钮，弹出编辑弹窗，所有字段可修改，点击确认按钮完成编辑，点击取消按钮关闭窗口；
</t>
  </si>
  <si>
    <r>
      <rPr>
        <color indexed="12"/>
        <sz val="11.0"/>
        <rFont val="Calibri"/>
      </rPr>
      <t>管理后台-课程管理</t>
    </r>
  </si>
  <si>
    <r>
      <rPr>
        <color indexed="12"/>
        <sz val="11.0"/>
        <rFont val="Calibri"/>
      </rPr>
      <t>2025/06/19 11:20:02 GMT+08:00</t>
    </r>
  </si>
  <si>
    <t xml:space="preserve"> 需求说明
小程序原型：https://hbzc6a.axshare.com/?g=4
后台原型：https://exxpdl.axshare.com/?g=4
原型
课程列表
新增课程
课程评论（2期做）
规则说明
1.  屏蔽的课程不会在用户端露出；
2.  删除课程后，已购买的用户依然能看到和学习该课程；
3.  编辑课程后，封面、课程名称、类别、价格同步更新，但是已购买课程订单的课程信息不受影响；
4.  课程类别：固定为模流仿真、生产经验、设计提升；
5.排序：用户端热门推荐课程的排序由后台的顺序决定；
6.当课程类别为设计能力时，显示“课程性质”字段，可选系列课程和专题课程两种；
交互说明
1.  删除：点击删除按钮，toast提示：是否确认删除【确定/取消】；
2.  屏蔽/公开：点击屏蔽按钮，toast提示：是否确认屏蔽？【确定/取消】，确认屏蔽后，屏蔽按钮变为公开；点击公开按钮，toast提示：是否确认公开？【确定/取消】，确认公开后，公开按钮变为屏蔽；
3.  新增课程：点击新增课程，弹出编辑弹窗，输入课程名称（不超过30个字符）、课程类别、价格（正数，小数点后两位）、课程封面（支持png、jpg、jpeg格式，大小不超过5M）、课程详情图（不超过10张，支持png、jpg、jpeg格式，单张大小不超过5M）、虚拟购买人数（正整数）点击确认按钮完成新增，点击取消按钮关闭窗口；
4.  编辑：点击编辑按钮，弹出编辑弹窗，所有字段可修改，点击确认按钮完成编辑，点击取消按钮关闭窗口；
5.点击评论栏的查看按钮，弹窗显示该课程的所有评论；
</t>
  </si>
  <si>
    <r>
      <rPr>
        <color indexed="12"/>
        <sz val="11.0"/>
        <rFont val="Calibri"/>
      </rPr>
      <t>管理后台-用户反馈</t>
    </r>
  </si>
  <si>
    <r>
      <rPr>
        <color indexed="12"/>
        <sz val="11.0"/>
        <rFont val="Calibri"/>
      </rPr>
      <t>2025/06/19 11:19:04 GMT+08:00</t>
    </r>
  </si>
  <si>
    <t xml:space="preserve"> 需求说明
小程序原型：https://hbzc6a.axshare.com/?g=4
后台原型：https://exxpdl.axshare.com/?g=4
原型
规则说明
单个用户可多次反馈，不做限制；
交互说明  
1.  搜索栏：支持对用户名、章节名称、小节名称、处理状态进行筛选搜索；
2.  点击“标记为已处理”按钮，状态变更为已处理，不可点击；
</t>
  </si>
  <si>
    <r>
      <rPr>
        <color indexed="12"/>
        <sz val="11.0"/>
        <rFont val="Calibri"/>
      </rPr>
      <t>管理后台-小节管理</t>
    </r>
  </si>
  <si>
    <r>
      <rPr>
        <color indexed="12"/>
        <sz val="11.0"/>
        <rFont val="Calibri"/>
      </rPr>
      <t>2025/06/19 11:18:50 GMT+08:00</t>
    </r>
  </si>
  <si>
    <t xml:space="preserve">需求说明
小程序原型：https://hbzc6a.axshare.com/?g=4
后台原型：https://exxpdl.axshare.com/?g=4
原型
小节列表
新增小节
内容编辑页
规则说明
浏览量：该文章的浏览量（浏览的用户数量）
点赞数：点赞数（点赞的用户数量）
分享数：该文章的分享次数，不去重
交互说明
1.  新增小节：点击该按钮，弹窗选择所属章节并输入小节名称，点击确定，小节列表对应章节下新增一条数据（新增的小节默认排在该章节最后一行），点击取消，关闭弹窗，不新增数据；
2.  小节列表：点击章节名称左侧的“展开”、“收起”按钮，展开/收起小节列表；
3.  拖动排序：点击“拖动”按钮，鼠标按住不放，移动，实现小节排序效果；
4.  删除：点击删除按钮，弹窗二次确认，确定删除后逻辑删除该章节（不做物理删除）；
5.  重命名：点击重命名按钮，可在小节名称列修改小节名称；
6.  编辑：点击编辑按钮，打开内容编辑页，修改正文内容；
7.  禁用/启用：点击该按钮，弹窗二次确认，禁用后客户端隐藏该小节，点击上一节下一节按钮也不会进入该小节，启用后客户端正常显示该小节；
</t>
  </si>
  <si>
    <r>
      <rPr>
        <color indexed="12"/>
        <sz val="11.0"/>
        <rFont val="Calibri"/>
      </rPr>
      <t>管理后台-章节管理</t>
    </r>
  </si>
  <si>
    <r>
      <rPr>
        <color indexed="12"/>
        <sz val="11.0"/>
        <rFont val="Calibri"/>
      </rPr>
      <t>2025/06/19 11:18:35 GMT+08:00</t>
    </r>
  </si>
  <si>
    <t xml:space="preserve">需求说明
小程序原型：https://hbzc6a.axshare.com/?g=4
后台原型：https://exxpdl.axshare.com/?g=4
原型
章节列表
新增章节
规则说明
若章节下没有生效的小节，该章节不在用户端显示
交互说明
1.  新增章节：点击该按钮，弹窗输入章节名称，点击确定，章节列表新增一条数据（新增的章节默认排在最后一行），点击取消，关闭弹窗，不新增数据；
2.  拖动排序：点击“拖动”按钮，鼠标按住不放，移动，实现排序效果；
3.  删除：点击删除按钮，弹窗二次确认，确定删除后逻辑删除该章节（不做物理删除）；
4.  编辑：点击编辑按钮，可在章节名称列修改章节名称；
5.  禁用/启用：点击该按钮，弹窗二次确认，禁用后客户端隐藏该章节，点击上一节下一节按钮也不会进入该章节，启用后客户端正常显示该章节；
</t>
  </si>
  <si>
    <r>
      <rPr>
        <color indexed="12"/>
        <sz val="11.0"/>
        <rFont val="Calibri"/>
      </rPr>
      <t>管理后台-话题管理</t>
    </r>
  </si>
  <si>
    <r>
      <rPr>
        <color indexed="12"/>
        <sz val="11.0"/>
        <rFont val="Calibri"/>
      </rPr>
      <t>2025/06/19 11:18:16 GMT+08:00</t>
    </r>
  </si>
  <si>
    <t xml:space="preserve"> 需求说明
小程序原型：https://hbzc6a.axshare.com/?g=4
后台原型：https://exxpdl.axshare.com/?g=4
原型
话题列表
新增话题
规则说明
1.  新增话题：新增的话题将会在用户端-发帖编辑页-选择话题页露出，话题列表插入一条数据；
2.  屏蔽/公开：控制话题是否在用户端-发帖编辑页-选择话题页露出及热门话题搜索；
3.  相关帖子数量：关联了该话题的所有帖子总数；
交互说明
1.  筛选：话题名称输入关键字后搜索，话题状态下拉框选择，创建时间按日期区间筛选 ； 
2.  屏蔽/公开：点击屏蔽按钮，toast提示：是否确认屏蔽？【确定/取消】，确认屏蔽后，屏蔽按钮变为公开；点击公开按钮，toast提示：是否确认公开？【确定/取消】，确认公开后，公开按钮变为屏蔽；
3.  新增话题：点击新增话题，弹出编辑弹窗，输入话题名称（不超过30个字符），点击确认按钮完成新增，单机取消按钮关闭窗口；
4. 置顶：点击置顶按钮，该话题调整为第一位，刷新页面；
</t>
  </si>
  <si>
    <r>
      <rPr>
        <color indexed="12"/>
        <sz val="11.0"/>
        <rFont val="Calibri"/>
      </rPr>
      <t>管理后台-评论管理</t>
    </r>
  </si>
  <si>
    <r>
      <rPr>
        <color indexed="12"/>
        <sz val="11.0"/>
        <rFont val="Calibri"/>
      </rPr>
      <t>2025/07/01</t>
    </r>
  </si>
  <si>
    <r>
      <rPr>
        <color indexed="12"/>
        <sz val="11.0"/>
        <rFont val="Calibri"/>
      </rPr>
      <t>2025/08/20</t>
    </r>
  </si>
  <si>
    <r>
      <rPr>
        <color indexed="12"/>
        <sz val="11.0"/>
        <rFont val="Calibri"/>
      </rPr>
      <t>2025/06/19 11:18:04 GMT+08:00</t>
    </r>
  </si>
  <si>
    <t xml:space="preserve"> 需求说明
小程序原型：https://hbzc6a.axshare.com/?g=4
后台原型：https://exxpdl.axshare.com/?g=4
原型
评论列表
详情
规则说明
1.  详情：显示该评论及下级评论（如有）的详情；
2.  屏蔽/公开：控制评论/回复是否在用户端露出；
3.  删除：删除的评论/回复，不会在后台和用户端显示，只做逻辑删除，不做物理删除；
4.  主评论、主评论的回复、主评论回复的回复，都算是评论；
交互说明
1.  筛选：评论人ID、评论人账号ID、评论人用户名、帖子ID、发帖人账号ID、发帖人用户名、标题输入关键字后搜索，评论状态下拉框选择，发布时间按日期区间筛选 ； 
2.  删除：点击删除按钮，toast提示：是 否确认删除？【确定/取消】；
3.  屏蔽/公开：点击屏蔽按钮，toast提示：是否确认屏蔽？【确定/取消】，确认屏蔽后，屏蔽按钮变为公开；点击公开按钮，toast提示：是否确认公开？【确定/取消】，确认公开后，公开按钮变为屏蔽；
</t>
  </si>
  <si>
    <r>
      <rPr>
        <color indexed="12"/>
        <sz val="11.0"/>
        <rFont val="Calibri"/>
      </rPr>
      <t>管理后台-帖子管理</t>
    </r>
  </si>
  <si>
    <r>
      <rPr>
        <color indexed="12"/>
        <sz val="11.0"/>
        <rFont val="Calibri"/>
      </rPr>
      <t>2025/06/19 11:17:51 GMT+08:00</t>
    </r>
  </si>
  <si>
    <t xml:space="preserve">需求说明
小程序原型：https://hbzc6a.axshare.com/?g=4
后台原型：https://exxpdl.axshare.com/?g=4
原型
帖子列表
人工复审弹窗
详情
规则说明
1.  详情：后台只能查看，不能点赞评论收藏；
2.  屏蔽/公开：控制帖子是否在用户端露出；
3.  精选/取消精选：控制帖子是否为精选帖子；
4.  删除：删除的帖子，不会在后台和用户端显示，只做逻辑删除，不做物理删除；
5.复审：对于审核状态为“审核未通过”的帖子，显示此按钮，可进行复审，若复审通过，审核状态更新为审核通过；
交互说明
1.  筛选：帖子ID、账号ID、用户名、标题输入关键字后搜索，帖子状态和话题下拉框选择，发布时间按日期区间筛选 ； 
2.  删除：点击删除按钮，toast提示：是否确认删除？【确定/取消】；
3.  屏蔽/公开：点击屏蔽按钮，toast提示：是否确认屏蔽？【确定/取消】，确认屏蔽后，屏蔽按钮变为公开；点击公开按钮，toast提示：是否确认公开？【确定/取消】，确认公开后，公开按钮变为屏蔽；
4.  精选/取消精选：点击精选按钮，toast提示：是否确认设为精选？【确定/取消】，确认设为精选后，精选按钮变为取消精选；点击取消精选按钮，toast提示：是否确认取消精选？【确定/取消】，确认取消精选后，取消精选按钮变为精选；
5.复审：点击复审按钮，弹窗选择审核结果，输入备注（不超过100个字符，必填），提交后审核状态更新，弹窗关闭；
</t>
  </si>
  <si>
    <r>
      <rPr>
        <color indexed="12"/>
        <sz val="11.0"/>
        <rFont val="Calibri"/>
      </rPr>
      <t>管理后台-用户管理</t>
    </r>
  </si>
  <si>
    <r>
      <rPr>
        <color indexed="12"/>
        <sz val="11.0"/>
        <rFont val="Calibri"/>
      </rPr>
      <t>2025/06/19 11:17:35 GMT+08:00</t>
    </r>
  </si>
  <si>
    <t xml:space="preserve"> 需求说明
小程序原型：https://hbzc6a.axshare.com/?g=4
后台原型：https://exxpdl.axshare.com/?g=4
原型
用户列表
详情-发布
详情-收藏
详情-回答
详情-互动
禁言
规则说明
1.  生态的用户只有在用中台登录生态小程序或PC时才创建用户，生成用户ID并关联至中台；
2.  用户详情：查看发布、收藏、回答、互动；
3.  禁言：用户被禁言后，在小程序端，评论功能禁用，同时不允许再发帖；
交互说明
1.  筛选：账号ID、手机号、用户名输入关键字后搜索，身份和状态下拉框选择；
2.  调整：更改用户身份，点击后出现下拉框选择，压铸达人、模流达人、专家、铸问工程师、普通用户；
3.  禁言理由：点击“？”toast显示禁言理由；
4.  详情：点击详情按钮，弹出详情弹窗，交互同小程序端；
5.  禁言/解除禁言：点击禁言按钮，弹出禁言窗口，选择禁言时长和禁言理由，点击确定，禁言生效，禁言按钮变为解除禁言；点击解除禁言按钮，toast提示：是否确认解除禁言？【确定/取消】，确认解除后，解除禁言按钮变为禁言；
</t>
  </si>
  <si>
    <r>
      <rPr>
        <color indexed="12"/>
        <sz val="11.0"/>
        <rFont val="Calibri"/>
      </rPr>
      <t>管理后台-登录页</t>
    </r>
  </si>
  <si>
    <r>
      <rPr>
        <color indexed="12"/>
        <sz val="11.0"/>
        <rFont val="Calibri"/>
      </rPr>
      <t>2025/06/19 11:17:16 GMT+08:00</t>
    </r>
  </si>
  <si>
    <t xml:space="preserve">需求说明
小程序原型：https://hbzc6a.axshare.com/?g=4
后台原型：https://exxpdl.axshare.com/?g=4
原型
规则说明
使用超云管理后台账号密码登录，需要配置账号权限；
</t>
  </si>
  <si>
    <r>
      <rPr>
        <color indexed="12"/>
        <sz val="11.0"/>
        <rFont val="Calibri"/>
      </rPr>
      <t>小程序-个人中心</t>
    </r>
  </si>
  <si>
    <r>
      <rPr>
        <color indexed="12"/>
        <sz val="11.0"/>
        <rFont val="Calibri"/>
      </rPr>
      <t>2025/06/19 11:15:26 GMT+08:00</t>
    </r>
  </si>
  <si>
    <t xml:space="preserve">需求说明
小程序原型：https://hbzc6a.axshare.com/?g=4
后台原型：https://exxpdl.axshare.com/?g=4
原型
本人主页
他人主页
收藏（1期不做）
在线课程
回答（2期做）
互动-收到回答
互动-获赞&amp;收藏
我的积分（2期做）
购买记录
浏览历史（2期做）
编辑个人主页
编辑头像
退出登录
规则说明
1.  互动栏的红点提示：只要“收到回答”和“获赞&amp;收藏”的未读消息数量大于0，互动按钮的红点就显示；“收到回答”和“获赞&amp;收藏”右上角红色气泡显示未读消息数量，当该消息在页面上曝光则视为已读；
2.  他人主页显示关注按钮、分享按钮，他人发布的帖子可查看；
3.  职业：用户未填写职业时，不显示职业标签；
4.  退出登录：用户退出登录后，只能以游客身份浏览首页内容，不支持搜索、互动、查看详情页，在用户试图进行这些操作时，直接跳转登录页；
5. 编辑个人信息：修改头像和地区需要同步更新到用户中台；
6. 用户昵称：为生态独有字段，若用户中台已存在该用户可使用用户中台的用户名作为用户昵称，若为新建用户则由系统生成，字数限制：不超过24个字符，不支持特殊字符输入；
7.个人简介：不超过200个字符；
8. 积分获取规则：https://doc.weixin.qq.com/doc/w3_AfcAHQa6AJglUAHY005T7GWxkJbrU?scode=AIsApgeaAAkFnQG0diAb0ACAZ3AGA
9.互动-收到的回答：分为三种，第一种“回答了你的提问”（用在一级评论），第二种“回复了你的评论”（用在回复我发的评论），第三种“评论了你的提问”（用在其他人在我的帖子下面其他人在讨论）
交互说明
1.  个人中心首页：点击地区编辑按钮和编辑个人主页，都是进入个人信息编辑页；点击分享按钮，拉起微信分享；点击我的积分、购买记录、浏览历史分别进入对应页面；下方发布、收藏、回答、互动等tab，点击对应tab就切换对应的页面；点击帖子和课程直接打开详情页；
2.  我的积分：点击全部、已获得、已消耗tab进行对应筛选，点击积分规则按钮，打开积分规则页面；
3.  购买记录：点击课程服务购买协议打开协议页面；
4.  浏览历史：单机有问必答、在线课程进行对应筛选；
5.  编辑个人主页：点击头像打开修改头像页面，点击地区弹窗进行地区选择省市区，点击职业弹窗进行职业选择，点击个人简介可进行个人简介编辑，点击保存按钮保存更改，个人简介和头像需要经过机审后才生效；
6.  设置：点击右上角设置按钮，打开设置页面，点击隐私政策和隐私政策，跳转对应页面；点击在线客服跳转在线客服页面；
</t>
  </si>
  <si>
    <r>
      <rPr>
        <color indexed="12"/>
        <sz val="11.0"/>
        <rFont val="Calibri"/>
      </rPr>
      <t>小程序-培训课程</t>
    </r>
  </si>
  <si>
    <r>
      <rPr>
        <color indexed="12"/>
        <sz val="11.0"/>
        <rFont val="Calibri"/>
      </rPr>
      <t>2025/06/19 11:15:03 GMT+08:00</t>
    </r>
  </si>
  <si>
    <t xml:space="preserve">需求说明
小程序原型：https://hbzc6a.axshare.com/?g=4
后台原型：https://exxpdl.axshare.com/?g=4
原型
首页
模拟仿真（2期做）
线下培训报名页
设计能力提升
企业培训（2期做）
生产经验
课程首页
课程简介（小节）
课程评论（2期做）
已购买评论（2期做）
购买弹窗
规则说明
1.  线下培训：后台发布线下培训，当在报名期内时，报名按钮可用，当超过报名期时，报名按钮不可用，显示“报名结束，请期待下次培训”；同一时刻只有一个线下培训生效；
2.  课程：未购买的课程显示购买按钮，已购买的课程可直接学习；只有购买了课程的用户才可以评论课程小节；
3.  课程显示顺序：首页的热门推荐栏目下课程顺序为后台的排序（前5名），课程上新栏目下按创建时间倒序（前5名），设计类别详情页下的课程顺序为该类别下按创建时间倒序；
4.  课时显示顺序：按创建时间正序；
5.  课程评论只支持一级，不支持回复；
6.  购买：仅购买课程是指只解锁课程，报名训练营不仅解锁课程还会弹窗二维码邀请客户加入训练营（确认用户支付成功后才弹窗）；
7.  用户支付成功后返回课程详情页，如果是报名训练营则需要弹出二维码；
8.课程卡片：已购买的课程会显示“已购买”的标签，学习进度是百分比，已学完（视频播放完成一次才算学完，无论学没学完拉进度条都可以拖动）的课时除以课时总数，向下取整；
9.banner：首页轮播海报需要支持点击跳转公众号文章、课程详情页、线下培训报名页；
10.未购买课程时点击播放按钮时提示请先购买课程；
11.训练营运营费用固定为30元，报名训练营的价格为课程价格+30元；
12.已购买人数=后台设置的课程虚拟购买人数+实际购买人数；
13.因iOS端不允许虚拟商品购买，对IOS端培训课程页面做如下调整：一、页面上隐藏价格及购买按钮的显示；二、课程详情页底部栏固定展示“由于相关规范，iOS用户暂不可在小程序内购买课程，请联系企微客服”，在课程详情介绍底部固定显示企微客服二维码；
交互说明
1.  点击“模拟仿真”、“设计提升”、“生产经验”、“企业培训”按钮，跳转到对应页面；
2.  点击课程卡片，进入课程详情页；点击购买按钮，弹出购买弹窗，需要先勾选同意协议后才能购买，购买训练营课程后弹窗客服二维码；点击小节列表中的小节，可切换视频和对应的简介及评论；点击点赞、收藏后按钮高亮数量+1，再次点击取消；点击分享按钮拉起微信分享，分享成功后数量+1；点击评论区，输入评论发布；
3.  企业培训：所有字段都为必填，提交按钮需要校验，点击提交按钮，提交工单；姓名不超过10个字符、联系方式不超过11位、单位名称不超过50个字符、培训人数不超过999、希望听到的内容不超过100个字符；
4. 线下培训报名：点击报名按钮。弹窗报名表单，输入姓名（必填）、联系电话（必填）、公司名称、职务、是否智铸超云用户（下拉，必填），点击提交需要校验必填，提交成功后弹窗报名成功；
</t>
  </si>
  <si>
    <r>
      <rPr>
        <color indexed="12"/>
        <sz val="11.0"/>
        <rFont val="Calibri"/>
      </rPr>
      <t>小程序-压铸百科</t>
    </r>
  </si>
  <si>
    <r>
      <rPr>
        <color indexed="12"/>
        <sz val="11.0"/>
        <rFont val="Calibri"/>
      </rPr>
      <t>2025/06/19 11:13:38 GMT+08:00</t>
    </r>
  </si>
  <si>
    <t xml:space="preserve">需求说明
小程序原型：https://hbzc6a.axshare.com/?g=4
后台原型：https://exxpdl.axshare.com/?g=4
原型
百科首页
百科详情页
规则说明
压铸百科展示的是后台设置的内容，章节为一级菜单，小节为二级菜单；
交互说明
1.  进入到压铸百科页面时，默认展示第一个章节第一个小节的内容；
2.  左侧文章列表：点击章节栏，展开或收起小节列表，点击小节名称，切换右侧内容页展示的内容；滑动条拖动可浏览所有文章列表；
3.  点击“上一节”“下一节”按钮，切换小节（如遇到跨章节的情况，自动进入下一个章节第一个小节）；
4.  点击“点赞”按钮，文章点赞数+1，点赞按钮高亮显示，再次点击该按钮，文章点赞数-1，点赞按钮恢复正常显示；
5.  点击“分享”按钮，拉起微信分享弹窗；
6.  百科优化建议：提交按钮默认置灰，选择章节、选择小节、填写优化建议（不超过200字），三者皆为必填，提交按钮高亮，点击提交后，toast提示：非常感谢您的宝贵建议，我们的工作人员会尽快处理；
</t>
  </si>
  <si>
    <r>
      <rPr>
        <color indexed="12"/>
        <sz val="11.0"/>
        <rFont val="Calibri"/>
      </rPr>
      <t>小程序-有问必答</t>
    </r>
  </si>
  <si>
    <r>
      <rPr>
        <color indexed="12"/>
        <sz val="11.0"/>
        <rFont val="Calibri"/>
      </rPr>
      <t>2025/06/19 11:13:24 GMT+08:00</t>
    </r>
  </si>
  <si>
    <t xml:space="preserve">需求说明
小程序原型：https://hbzc6a.axshare.com/?g=4
后台原型：https://exxpdl.axshare.com/?g=4
原型
有问必答页面
筛选栏
搜索页面（热门话题2期做）
搜索结果页
帖子详情页
规则说明
1.  搜索规则：关键词半匹配检索，搜索标题、正文内容、用户名，搜索结果分为帖子和用户两个tab；
2.  各tab页帖子排序规则；
3. 有专家身份的用户回复帖子时，需要给帖子打上标签，专家身份有4种：压铸达人、模流达人、专家、铸问工程师；
4. 筛选栏：筛选此tab下的帖子，最新发布即发布时间倒序，最多回答即评论数倒序，最多点赞即点赞数倒序，最多收藏即收藏数倒序；
推荐逻辑
召回层
目标： 从海量帖子中，快速筛选出一个几百上千篇的候选池。这是多样性的基础。
策略（多路召回）：
热门召回： 拉取最近一周点赞+评论数最高的帖子，前100名。
协同过滤召回： "猜你喜欢"，找出与你历史行为（点赞、评论、收藏过的帖子）相似的用户，推荐他们喜欢但你没看过的帖子，100个。
内容标签召回： 找出你历史互动过的帖子所属的话题（3个），推荐这些话题下的其他打分前100名的帖子。
新帖召回： 给最新发布的帖子一定的曝光机会，解决冷启动问题，最新发布的帖子取100条。
专家用户召回： 优先召回有专家身份的用户（压铸达人、模流达人、专家、铸问工程师）发布的帖子取100条。
假如候选池的帖子用户看完：重新运行上述流程，但是需要需要排除掉已经浏览过的帖子，再去产生候选池；
排序层 
目标： 对召回的候选池中的每一个帖子进行精准打分，决定其最终的排序（需要先对召回层去重）。
打分公式：总分=基础分*（1+加权系数）
基础分=帖子点赞数+帖子评论数+帖子收藏数，最小值是1分；
加权系数=时效系数+身份系数+图片系数+文本长度系数；
时效系数：一周内的新帖为0.3，一个月内的帖子为0.2，超过一个月的帖子为0.1；
身份系数：压铸达人、模流达人、专家发布的帖子身份系数为0.5，铸问工程师发布的帖子身份系数为0.6；
图片系数：为图片数量*0.05；
文本长度系数：【文本字数/10】向下取整*0.05，最大为0.5；
最终，前端请求推荐列表时，后台执行“召回-&gt;排序”的流程，返回一个个性化的、有序的帖子列表。
最新提问：所有帖子，按发布时间倒序；
精选问答：后台设为精选的帖子+专家身份（压铸达人、模流达人、专家、铸问工程师）账号发布的帖子，按打分从高到低；
我的关注：用户关注的博主发的帖子，按发布时间倒序；
3.  评论区盖楼规则：
评论区：在评论区输入评论内容，点击提交后，评论区显示此评论；
评论的排序规则：
1.第一条固定显示发帖者的评论（若有多条仅置顶第一条评论）；
2.紧接着是回复数量最多的3个评论（由高到低）；
3.剩余评论按发布时间，早评论的在前面，晚评论的在后面；
4.特殊情况：浏览者评论帖子后，他会看到自己的评论在第一位（其他用户看的他的评论是在底部），当他退出重新进入此时他的评论会显示在底部；
评论列表分为两级，主评论为一级、主评论回复为二级（按点赞数降序），当回复超过一条时折叠显示
“主评论回复”的回复与主评论回复是同一级，只是增加前缀区分，回复 xxx
交互说明
1.  点击搜索栏，进入搜索页面，输入关键词，点击搜索按钮，显示搜索结果；
2.  点击“卡片”、“列表”样式切换按钮，下方瀑布流样式切换；
3.  点击“推荐”、“最先提问”、“精选问答”、“我的关注”tab，下方瀑布流内容切换；
4.  帖子列表：点击帖子卡片，进入帖子详情页，帖子列表支持上下滑动，响应式加载；
5.  帖子详情：
顶部：点击用户头像和用户名，跳转到博主的个人中心页面；点击“关注”按钮，关注该用户；点击分享按钮底部弹出微信分享弹窗；
评论区：点赞和收藏，点击对应按钮，点赞和收藏数+1，按钮高亮，取消则反之；点击底部评论按钮，评论区内容从下方弹出，点击关闭按钮，关闭弹窗；
评论栏：点击评论框或回复按钮，评论编辑弹窗从下方弹出，分为文本区域、图片区域、工具栏（@他人、emoji、图片上传）；一次评论只能上传一张图；
</t>
  </si>
  <si>
    <r>
      <rPr>
        <color indexed="12"/>
        <sz val="11.0"/>
        <rFont val="Calibri"/>
      </rPr>
      <t>小程序-发布帖子</t>
    </r>
  </si>
  <si>
    <r>
      <rPr>
        <color indexed="12"/>
        <sz val="11.0"/>
        <rFont val="Calibri"/>
      </rPr>
      <t>2025/06/19 11:13:13 GMT+08:00</t>
    </r>
  </si>
  <si>
    <t xml:space="preserve">需求说明
小程序原型：https://hbzc6a.axshare.com/?g=4
后台原型：https://exxpdl.axshare.com/?g=4
原型
入口
选择图片
选择话题（2期做）
@用户（2期做）
标记地点（2期做）
发布过程
规则说明
1.  每个帖子最多选择9张图片，图片为必传；
2.  标题限制：不超过100个字符，必填，话题数量限制：最多选5个话题；
3.  帖子内容字数限制：不超过3000个字符，非必填；帖子正文字数不限制；
4.  发布审核：机器审核，文本内容需要通过敏感词过滤（GitHub - konsheng/Sensitive-lexicon: 一个持续更新的中文敏感词库，帮助开发者和内容审核者快速识别并过滤不当文本。），图片也需要审核（智能图片识别产品API文档-同步单张.md | 数美，审核通过后的帖子才会在有问必答暴露；审核中和审核驳回的帖子在个人中心-发布的帖子显示，驳回需要显示原因；
5.  发布流程：点击“发布”按钮-机器审核-发布成功/发布失败；
交互说明
1.  从首页点击“+”按钮，打开图片选择页，从相册或相机选择图片，点击下一步进入帖子编辑页面；
2.  帖子编辑页：
图片编辑：点击图片右上角X号删除图片，点击“+”回到图片选择页重新选择图片；
话题编辑：点击”#话题“按钮，从屏幕下方弹出话题配置弹窗，支持按话题关键字搜索（话题由后台管理），点击对应的话题选中，选中的话题会显示在搜索栏下方同时不再显示在候选话题栏，可点击”x“取消选中，点击”完成“按钮后，关闭弹窗，选中的话题显示在内容编辑栏的底部，如话题一行显示不完整支持左右滑动查看；
@用户：点击“@用户”按钮，从屏幕下方弹出话题配置弹窗，支持按用户名关键字搜索用户，一次只能@一名用户，选中该用户后，弹窗关闭，同时在内容编辑栏增加“@xxxx”字样，如需取消@，正文删除文本即可；
3.  标记地点：点击“标记地点”，弹窗提示获取定位授权，如已授权则不用再弹出，获取授权后进入地址选择页，可选择不显示位置或选择附近的地点，选中后返回帖子编辑页，并在标记地点按钮下方显示选中的地点；
4.  存草稿：点击该按钮，保存帖子为草稿。用户在帖子编辑页操作返回时，弹窗提示：是否保存草稿【取消/保存】；
5.  预览：点击该按钮，进入预览页，显示帖子发布成功后的实际效果（帖子详情页）；
6.  发布：点击该按钮，进入发布流程，标题为空时发布按钮置灰不可点；
</t>
  </si>
  <si>
    <r>
      <rPr>
        <color indexed="12"/>
        <sz val="11.0"/>
        <rFont val="Calibri"/>
      </rPr>
      <t>小程序-登录&amp;超云用户注册</t>
    </r>
  </si>
  <si>
    <r>
      <rPr>
        <color indexed="12"/>
        <sz val="11.0"/>
        <rFont val="Calibri"/>
      </rPr>
      <t>2025/06/19 11:11:10 GMT+08:00</t>
    </r>
  </si>
  <si>
    <t xml:space="preserve">需求说明
小程序原型：https://hbzc6a.axshare.com/?g=4
后台原型：https://exxpdl.axshare.com/?g=4
原型
规则说明
新创建中台账号时，中台用户名为SC_手机号；新建生态用户时，用户昵称为user_8位大小字母数字组合。
交互说明
1.  点击“手机号快捷登录”按钮，底部弹出微信手机号快捷登录弹窗，选择手机号后登录成功；
2.  点击“其他手机号登录”按钮，跳转验证码登录页，输入手机号后，点击“获取验证码”按钮，输入验证码后登录成功；
3.  协议：未勾选同意时，点击登录按钮，弹窗提示用户同意协议；
</t>
  </si>
</sst>
</file>

<file path=xl/styles.xml><?xml version="1.0" encoding="utf-8"?>
<styleSheet xmlns="http://schemas.openxmlformats.org/spreadsheetml/2006/main">
  <numFmts count="0"/>
  <fonts count="7">
    <font>
      <sz val="11.0"/>
      <color indexed="8"/>
      <name val="Calibri"/>
      <family val="2"/>
      <scheme val="minor"/>
    </font>
    <font>
      <name val="Calibri"/>
      <sz val="12.0"/>
      <color indexed="20"/>
      <b val="true"/>
    </font>
    <font>
      <name val="Calibri"/>
      <sz val="11.0"/>
    </font>
    <font>
      <name val="Calibri"/>
      <sz val="11.0"/>
      <u val="single"/>
      <color indexed="12"/>
    </font>
    <font>
      <name val="Calibri"/>
      <sz val="11.0"/>
      <color indexed="12"/>
    </font>
    <font>
      <name val="Calibri"/>
      <sz val="11.0"/>
      <color indexed="12"/>
      <u val="single"/>
    </font>
    <font>
      <name val="Calibri"/>
      <sz val="11.0"/>
      <u val="single"/>
      <color indexed="12"/>
    </font>
  </fonts>
  <fills count="6">
    <fill>
      <patternFill patternType="none"/>
    </fill>
    <fill>
      <patternFill patternType="darkGray"/>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s>
  <borders count="8">
    <border>
      <left/>
      <right/>
      <top/>
      <bottom/>
      <diagonal/>
    </border>
    <border>
      <bottom style="thin"/>
    </border>
    <border>
      <left style="thin"/>
      <bottom style="thin"/>
    </border>
    <border>
      <left style="thin"/>
      <right style="thin"/>
      <bottom style="thin"/>
    </border>
    <border>
      <left style="thin"/>
      <right style="thin"/>
      <top style="thin"/>
      <bottom style="thin"/>
    </border>
    <border>
      <top style="thin"/>
    </border>
    <border>
      <top style="thin"/>
      <bottom style="thin"/>
    </border>
    <border>
      <left style="thin"/>
      <top style="thin"/>
      <bottom style="thin"/>
    </border>
  </borders>
  <cellStyleXfs count="1">
    <xf numFmtId="0" fontId="0" fillId="0" borderId="0"/>
  </cellStyleXfs>
  <cellXfs count="8">
    <xf numFmtId="0" fontId="0" fillId="0" borderId="0" xfId="0"/>
    <xf numFmtId="49" fontId="1" fillId="3" borderId="4" xfId="0" applyNumberFormat="true" applyFill="true" applyBorder="true" applyAlignment="true" applyFont="true">
      <alignment horizontal="center" wrapText="true"/>
    </xf>
    <xf numFmtId="49" fontId="2" fillId="5" borderId="4" xfId="0" applyNumberFormat="true" applyFill="true" applyBorder="true" applyAlignment="true" applyFont="true">
      <alignment horizontal="left" vertical="center" wrapText="true"/>
    </xf>
    <xf numFmtId="2" fontId="2" fillId="5" borderId="4" xfId="0" applyNumberFormat="true" applyFill="true" applyBorder="true" applyAlignment="true" applyFont="true">
      <alignment horizontal="left" vertical="center" wrapText="true"/>
    </xf>
    <xf numFmtId="1" fontId="2" fillId="5" borderId="4" xfId="0" applyNumberFormat="true" applyFill="true" applyBorder="true" applyAlignment="true" applyFont="true">
      <alignment horizontal="left" vertical="center" wrapText="true"/>
    </xf>
    <xf numFmtId="0" fontId="6" fillId="5" borderId="4" xfId="0" applyFill="true" applyBorder="true" applyAlignment="true" applyFont="true">
      <alignment horizontal="left" vertical="center"/>
    </xf>
    <xf numFmtId="0" fontId="3" fillId="5" borderId="4" xfId="0" applyFont="true" applyFill="true" applyBorder="true" applyAlignment="true">
      <alignment horizontal="left" vertical="center"/>
    </xf>
    <xf numFmtId="9" fontId="2" fillId="5" borderId="4" xfId="0" applyNumberFormat="true" applyFill="true" applyBorder="true" applyAlignment="true" applyFo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M48"/>
  <sheetViews>
    <sheetView workbookViewId="0" tabSelected="true"/>
  </sheetViews>
  <sheetFormatPr defaultRowHeight="15.0" baseColWidth="16"/>
  <sheetData>
    <row r="1" ht="30.0" customHeight="true">
      <c r="A1" s="1" t="s">
        <v>1</v>
      </c>
      <c r="B1" s="1" t="s">
        <v>2</v>
      </c>
      <c r="C1" s="1" t="s">
        <v>3</v>
      </c>
      <c r="D1" s="1" t="s">
        <v>4</v>
      </c>
      <c r="E1" s="1" t="s">
        <v>5</v>
      </c>
      <c r="F1" s="1" t="s">
        <v>6</v>
      </c>
      <c r="G1" s="1" t="s">
        <v>7</v>
      </c>
      <c r="H1" s="1" t="s">
        <v>8</v>
      </c>
      <c r="I1" s="1" t="s">
        <v>9</v>
      </c>
      <c r="J1" s="1" t="s">
        <v>10</v>
      </c>
      <c r="K1" s="1" t="s">
        <v>11</v>
      </c>
      <c r="L1" s="1" t="s">
        <v>12</v>
      </c>
      <c r="M1" s="1" t="s">
        <v>13</v>
      </c>
    </row>
    <row r="2" ht="12.75" customHeight="true">
      <c r="A2" s="5" t="str">
        <f>HYPERLINK("https://devcloud.cn-east-3.huaweicloud.com/projectman/scrum/78b2e310f37c4e28bfb3ef86179ac134/task/detail/713223483","713223483")</f>
        <v>713223483</v>
      </c>
      <c r="B2" s="2" t="s">
        <v>14</v>
      </c>
      <c r="C2" s="2" t="s">
        <v>15</v>
      </c>
      <c r="D2" s="2" t="s">
        <v>16</v>
      </c>
      <c r="E2" s="2" t="s">
        <v>17</v>
      </c>
      <c r="F2" s="2" t="s">
        <v>18</v>
      </c>
      <c r="G2" s="2" t="s">
        <v>19</v>
      </c>
      <c r="H2" s="2" t="s">
        <v>20</v>
      </c>
      <c r="I2" s="2" t="s">
        <v>21</v>
      </c>
      <c r="J2" s="3" t="n">
        <v>8.0</v>
      </c>
      <c r="K2" s="7" t="n">
        <v>0.0</v>
      </c>
      <c r="L2" s="2" t="s">
        <v>22</v>
      </c>
      <c r="M2" s="2" t="s">
        <v>23</v>
      </c>
    </row>
    <row r="3" ht="12.75" customHeight="true">
      <c r="A3" s="5" t="str">
        <f>HYPERLINK("https://devcloud.cn-east-3.huaweicloud.com/projectman/scrum/78b2e310f37c4e28bfb3ef86179ac134/task/detail/713218714","713218714")</f>
        <v>713218714</v>
      </c>
      <c r="B3" s="2" t="s">
        <v>24</v>
      </c>
      <c r="C3" s="2" t="s">
        <v>15</v>
      </c>
      <c r="D3" s="2" t="s">
        <v>16</v>
      </c>
      <c r="E3" s="2" t="s">
        <v>17</v>
      </c>
      <c r="F3" s="2" t="s">
        <v>18</v>
      </c>
      <c r="G3" s="2" t="s">
        <v>19</v>
      </c>
      <c r="H3" s="2" t="s">
        <v>20</v>
      </c>
      <c r="I3" s="2" t="s">
        <v>25</v>
      </c>
      <c r="J3" s="3" t="n">
        <v>28.0</v>
      </c>
      <c r="K3" s="7" t="n">
        <v>0.0</v>
      </c>
      <c r="L3" s="2" t="s">
        <v>22</v>
      </c>
      <c r="M3" s="2" t="s">
        <v>26</v>
      </c>
    </row>
    <row r="4" ht="12.75" customHeight="true">
      <c r="A4" s="5" t="str">
        <f>HYPERLINK("https://devcloud.cn-east-3.huaweicloud.com/projectman/scrum/78b2e310f37c4e28bfb3ef86179ac134/task/detail/713218702","713218702")</f>
        <v>713218702</v>
      </c>
      <c r="B4" s="2" t="s">
        <v>27</v>
      </c>
      <c r="C4" s="2" t="s">
        <v>28</v>
      </c>
      <c r="D4" s="2" t="s">
        <v>16</v>
      </c>
      <c r="E4" s="2" t="s">
        <v>17</v>
      </c>
      <c r="F4" s="2" t="s">
        <v>29</v>
      </c>
      <c r="G4" s="2" t="s">
        <v>30</v>
      </c>
      <c r="H4" s="2" t="s">
        <v>31</v>
      </c>
      <c r="I4" s="2" t="s">
        <v>32</v>
      </c>
      <c r="J4" s="3" t="n">
        <v>157.0</v>
      </c>
      <c r="K4" s="7" t="n">
        <v>0.0</v>
      </c>
      <c r="L4" s="2" t="s">
        <v>22</v>
      </c>
      <c r="M4" s="2" t="s">
        <v>33</v>
      </c>
    </row>
    <row r="5" ht="12.75" customHeight="true">
      <c r="A5" s="5" t="str">
        <f>HYPERLINK("https://devcloud.cn-east-3.huaweicloud.com/projectman/scrum/78b2e310f37c4e28bfb3ef86179ac134/task/detail/713218648","713218648")</f>
        <v>713218648</v>
      </c>
      <c r="B5" s="2" t="s">
        <v>34</v>
      </c>
      <c r="C5" s="2" t="s">
        <v>15</v>
      </c>
      <c r="D5" s="2" t="s">
        <v>16</v>
      </c>
      <c r="E5" s="2" t="s">
        <v>17</v>
      </c>
      <c r="F5" s="2" t="s">
        <v>18</v>
      </c>
      <c r="G5" s="2" t="s">
        <v>19</v>
      </c>
      <c r="H5" s="2" t="s">
        <v>20</v>
      </c>
      <c r="I5" s="2" t="s">
        <v>35</v>
      </c>
      <c r="J5" s="3" t="n">
        <v>36.0</v>
      </c>
      <c r="K5" s="7" t="n">
        <v>0.0</v>
      </c>
      <c r="L5" s="2" t="s">
        <v>22</v>
      </c>
      <c r="M5" s="2" t="s">
        <v>36</v>
      </c>
    </row>
    <row r="6" ht="12.75" customHeight="true">
      <c r="A6" s="5" t="str">
        <f>HYPERLINK("https://devcloud.cn-east-3.huaweicloud.com/projectman/scrum/78b2e310f37c4e28bfb3ef86179ac134/task/detail/713218642","713218642")</f>
        <v>713218642</v>
      </c>
      <c r="B6" s="2" t="s">
        <v>37</v>
      </c>
      <c r="C6" s="2" t="s">
        <v>15</v>
      </c>
      <c r="D6" s="2" t="s">
        <v>16</v>
      </c>
      <c r="E6" s="2" t="s">
        <v>17</v>
      </c>
      <c r="F6" s="2" t="s">
        <v>18</v>
      </c>
      <c r="G6" s="2" t="s">
        <v>19</v>
      </c>
      <c r="H6" s="2" t="s">
        <v>20</v>
      </c>
      <c r="I6" s="2" t="s">
        <v>38</v>
      </c>
      <c r="J6" s="3" t="n">
        <v>60.0</v>
      </c>
      <c r="K6" s="7" t="n">
        <v>0.0</v>
      </c>
      <c r="L6" s="2" t="s">
        <v>22</v>
      </c>
      <c r="M6" s="2" t="s">
        <v>39</v>
      </c>
    </row>
    <row r="7" ht="12.75" customHeight="true">
      <c r="A7" s="5" t="str">
        <f>HYPERLINK("https://devcloud.cn-east-3.huaweicloud.com/projectman/scrum/78b2e310f37c4e28bfb3ef86179ac134/task/detail/713218374","713218374")</f>
        <v>713218374</v>
      </c>
      <c r="B7" s="2" t="s">
        <v>40</v>
      </c>
      <c r="C7" s="2" t="s">
        <v>41</v>
      </c>
      <c r="D7" s="2" t="s">
        <v>16</v>
      </c>
      <c r="E7" s="2" t="s">
        <v>17</v>
      </c>
      <c r="F7" s="2" t="s">
        <v>42</v>
      </c>
      <c r="G7" s="2" t="s">
        <v>43</v>
      </c>
      <c r="H7" s="2" t="s">
        <v>31</v>
      </c>
      <c r="I7" s="2" t="s">
        <v>44</v>
      </c>
      <c r="J7" s="3" t="n">
        <v>0.0</v>
      </c>
      <c r="K7" s="7" t="n">
        <v>0.0</v>
      </c>
      <c r="L7" s="2" t="s">
        <v>22</v>
      </c>
      <c r="M7" s="2" t="s">
        <v>45</v>
      </c>
    </row>
    <row r="8" ht="12.75" customHeight="true">
      <c r="A8" s="5" t="str">
        <f>HYPERLINK("https://devcloud.cn-east-3.huaweicloud.com/projectman/scrum/78b2e310f37c4e28bfb3ef86179ac134/task/detail/713171002","713171002")</f>
        <v>713171002</v>
      </c>
      <c r="B8" s="2" t="s">
        <v>46</v>
      </c>
      <c r="C8" s="2" t="s">
        <v>47</v>
      </c>
      <c r="D8" s="2" t="s">
        <v>16</v>
      </c>
      <c r="E8" s="2" t="s">
        <v>17</v>
      </c>
      <c r="F8" s="2" t="s">
        <v>42</v>
      </c>
      <c r="G8" s="2" t="s">
        <v>48</v>
      </c>
      <c r="H8" s="2" t="s">
        <v>31</v>
      </c>
      <c r="I8" s="2" t="s">
        <v>49</v>
      </c>
      <c r="J8" s="3" t="n">
        <v>5.0</v>
      </c>
      <c r="K8" s="7" t="n">
        <v>0.0</v>
      </c>
      <c r="L8" s="2" t="s">
        <v>22</v>
      </c>
      <c r="M8" s="2" t="s">
        <v>50</v>
      </c>
    </row>
    <row r="9" ht="12.75" customHeight="true">
      <c r="A9" s="5" t="str">
        <f>HYPERLINK("https://devcloud.cn-east-3.huaweicloud.com/projectman/scrum/78b2e310f37c4e28bfb3ef86179ac134/task/detail/713140036","713140036")</f>
        <v>713140036</v>
      </c>
      <c r="B9" s="2" t="s">
        <v>51</v>
      </c>
      <c r="C9" s="2" t="s">
        <v>41</v>
      </c>
      <c r="D9" s="2" t="s">
        <v>16</v>
      </c>
      <c r="E9" s="2" t="s">
        <v>17</v>
      </c>
      <c r="F9" s="2" t="s">
        <v>42</v>
      </c>
      <c r="G9" s="2" t="s">
        <v>43</v>
      </c>
      <c r="H9" s="2" t="s">
        <v>31</v>
      </c>
      <c r="I9" s="2" t="s">
        <v>52</v>
      </c>
      <c r="J9" s="3" t="n">
        <v>5.0</v>
      </c>
      <c r="K9" s="7" t="n">
        <v>0.0</v>
      </c>
      <c r="L9" s="2" t="s">
        <v>22</v>
      </c>
      <c r="M9" s="2" t="s">
        <v>53</v>
      </c>
    </row>
    <row r="10" ht="12.75" customHeight="true">
      <c r="A10" s="5" t="str">
        <f>HYPERLINK("https://devcloud.cn-east-3.huaweicloud.com/projectman/scrum/78b2e310f37c4e28bfb3ef86179ac134/task/detail/713131192","713131192")</f>
        <v>713131192</v>
      </c>
      <c r="B10" s="2" t="s">
        <v>54</v>
      </c>
      <c r="C10" s="2" t="s">
        <v>28</v>
      </c>
      <c r="D10" s="2" t="s">
        <v>16</v>
      </c>
      <c r="E10" s="2" t="s">
        <v>17</v>
      </c>
      <c r="F10" s="2" t="s">
        <v>29</v>
      </c>
      <c r="G10" s="2" t="s">
        <v>30</v>
      </c>
      <c r="H10" s="2" t="s">
        <v>31</v>
      </c>
      <c r="I10" s="2" t="s">
        <v>55</v>
      </c>
      <c r="J10" s="3" t="n">
        <v>8.0</v>
      </c>
      <c r="K10" s="7" t="n">
        <v>0.0</v>
      </c>
      <c r="L10" s="2" t="s">
        <v>22</v>
      </c>
      <c r="M10" s="2" t="s">
        <v>56</v>
      </c>
    </row>
    <row r="11" ht="12.75" customHeight="true">
      <c r="A11" s="5" t="str">
        <f>HYPERLINK("https://devcloud.cn-east-3.huaweicloud.com/projectman/scrum/78b2e310f37c4e28bfb3ef86179ac134/task/detail/713131189","713131189")</f>
        <v>713131189</v>
      </c>
      <c r="B11" s="2" t="s">
        <v>57</v>
      </c>
      <c r="C11" s="2" t="s">
        <v>28</v>
      </c>
      <c r="D11" s="2" t="s">
        <v>16</v>
      </c>
      <c r="E11" s="2" t="s">
        <v>17</v>
      </c>
      <c r="F11" s="2" t="s">
        <v>29</v>
      </c>
      <c r="G11" s="2" t="s">
        <v>30</v>
      </c>
      <c r="H11" s="2" t="s">
        <v>31</v>
      </c>
      <c r="I11" s="2" t="s">
        <v>58</v>
      </c>
      <c r="J11" s="3" t="n">
        <v>14.0</v>
      </c>
      <c r="K11" s="7" t="n">
        <v>0.0</v>
      </c>
      <c r="L11" s="2" t="s">
        <v>22</v>
      </c>
      <c r="M11" s="2" t="s">
        <v>59</v>
      </c>
    </row>
    <row r="12" ht="12.75" customHeight="true">
      <c r="A12" s="5" t="str">
        <f>HYPERLINK("https://devcloud.cn-east-3.huaweicloud.com/projectman/scrum/78b2e310f37c4e28bfb3ef86179ac134/task/detail/713131188","713131188")</f>
        <v>713131188</v>
      </c>
      <c r="B12" s="2" t="s">
        <v>60</v>
      </c>
      <c r="C12" s="2"/>
      <c r="D12" s="2" t="s">
        <v>61</v>
      </c>
      <c r="E12" s="2" t="s">
        <v>17</v>
      </c>
      <c r="F12" s="2" t="s">
        <v>29</v>
      </c>
      <c r="G12" s="2" t="s">
        <v>30</v>
      </c>
      <c r="H12" s="2" t="s">
        <v>31</v>
      </c>
      <c r="I12" s="2" t="s">
        <v>62</v>
      </c>
      <c r="J12" s="3" t="n">
        <v>32.0</v>
      </c>
      <c r="K12" s="7" t="n">
        <v>0.0</v>
      </c>
      <c r="L12" s="2" t="s">
        <v>22</v>
      </c>
      <c r="M12" s="2" t="s">
        <v>63</v>
      </c>
    </row>
    <row r="13" ht="12.75" customHeight="true">
      <c r="A13" s="5" t="str">
        <f>HYPERLINK("https://devcloud.cn-east-3.huaweicloud.com/projectman/scrum/78b2e310f37c4e28bfb3ef86179ac134/task/detail/713131178","713131178")</f>
        <v>713131178</v>
      </c>
      <c r="B13" s="2" t="s">
        <v>64</v>
      </c>
      <c r="C13" s="2" t="s">
        <v>41</v>
      </c>
      <c r="D13" s="2" t="s">
        <v>16</v>
      </c>
      <c r="E13" s="2" t="s">
        <v>17</v>
      </c>
      <c r="F13" s="2" t="s">
        <v>42</v>
      </c>
      <c r="G13" s="2" t="s">
        <v>43</v>
      </c>
      <c r="H13" s="2" t="s">
        <v>31</v>
      </c>
      <c r="I13" s="2" t="s">
        <v>65</v>
      </c>
      <c r="J13" s="3" t="n">
        <v>16.0</v>
      </c>
      <c r="K13" s="7" t="n">
        <v>0.0</v>
      </c>
      <c r="L13" s="2" t="s">
        <v>22</v>
      </c>
      <c r="M13" s="2" t="s">
        <v>66</v>
      </c>
    </row>
    <row r="14" ht="12.75" customHeight="true">
      <c r="A14" s="5" t="str">
        <f>HYPERLINK("https://devcloud.cn-east-3.huaweicloud.com/projectman/scrum/78b2e310f37c4e28bfb3ef86179ac134/task/detail/713131175","713131175")</f>
        <v>713131175</v>
      </c>
      <c r="B14" s="2" t="s">
        <v>67</v>
      </c>
      <c r="C14" s="2" t="s">
        <v>41</v>
      </c>
      <c r="D14" s="2" t="s">
        <v>16</v>
      </c>
      <c r="E14" s="2" t="s">
        <v>17</v>
      </c>
      <c r="F14" s="2" t="s">
        <v>42</v>
      </c>
      <c r="G14" s="2" t="s">
        <v>43</v>
      </c>
      <c r="H14" s="2" t="s">
        <v>31</v>
      </c>
      <c r="I14" s="2" t="s">
        <v>68</v>
      </c>
      <c r="J14" s="3" t="n">
        <v>24.0</v>
      </c>
      <c r="K14" s="7" t="n">
        <v>0.0</v>
      </c>
      <c r="L14" s="2" t="s">
        <v>22</v>
      </c>
      <c r="M14" s="2" t="s">
        <v>69</v>
      </c>
    </row>
    <row r="15" ht="12.75" customHeight="true">
      <c r="A15" s="5" t="str">
        <f>HYPERLINK("https://devcloud.cn-east-3.huaweicloud.com/projectman/scrum/78b2e310f37c4e28bfb3ef86179ac134/task/detail/713131173","713131173")</f>
        <v>713131173</v>
      </c>
      <c r="B15" s="2" t="s">
        <v>70</v>
      </c>
      <c r="C15" s="2" t="s">
        <v>41</v>
      </c>
      <c r="D15" s="2" t="s">
        <v>16</v>
      </c>
      <c r="E15" s="2" t="s">
        <v>17</v>
      </c>
      <c r="F15" s="2" t="s">
        <v>42</v>
      </c>
      <c r="G15" s="2" t="s">
        <v>43</v>
      </c>
      <c r="H15" s="2" t="s">
        <v>31</v>
      </c>
      <c r="I15" s="2" t="s">
        <v>71</v>
      </c>
      <c r="J15" s="3" t="n">
        <v>24.0</v>
      </c>
      <c r="K15" s="7" t="n">
        <v>0.0</v>
      </c>
      <c r="L15" s="2" t="s">
        <v>22</v>
      </c>
      <c r="M15" s="2" t="s">
        <v>72</v>
      </c>
    </row>
    <row r="16" ht="12.75" customHeight="true">
      <c r="A16" s="5" t="str">
        <f>HYPERLINK("https://devcloud.cn-east-3.huaweicloud.com/projectman/scrum/78b2e310f37c4e28bfb3ef86179ac134/task/detail/713131163","713131163")</f>
        <v>713131163</v>
      </c>
      <c r="B16" s="2" t="s">
        <v>73</v>
      </c>
      <c r="C16" s="2" t="s">
        <v>41</v>
      </c>
      <c r="D16" s="2" t="s">
        <v>16</v>
      </c>
      <c r="E16" s="2" t="s">
        <v>17</v>
      </c>
      <c r="F16" s="2" t="s">
        <v>42</v>
      </c>
      <c r="G16" s="2" t="s">
        <v>43</v>
      </c>
      <c r="H16" s="2" t="s">
        <v>31</v>
      </c>
      <c r="I16" s="2" t="s">
        <v>74</v>
      </c>
      <c r="J16" s="3" t="n">
        <v>16.0</v>
      </c>
      <c r="K16" s="7" t="n">
        <v>0.0</v>
      </c>
      <c r="L16" s="2" t="s">
        <v>22</v>
      </c>
      <c r="M16" s="2" t="s">
        <v>75</v>
      </c>
    </row>
    <row r="17" ht="12.75" customHeight="true">
      <c r="A17" s="5" t="str">
        <f>HYPERLINK("https://devcloud.cn-east-3.huaweicloud.com/projectman/scrum/78b2e310f37c4e28bfb3ef86179ac134/task/detail/713130373","713130373")</f>
        <v>713130373</v>
      </c>
      <c r="B17" s="2" t="s">
        <v>76</v>
      </c>
      <c r="C17" s="2" t="s">
        <v>77</v>
      </c>
      <c r="D17" s="2" t="s">
        <v>16</v>
      </c>
      <c r="E17" s="2" t="s">
        <v>17</v>
      </c>
      <c r="F17" s="2" t="s">
        <v>78</v>
      </c>
      <c r="G17" s="2" t="s">
        <v>79</v>
      </c>
      <c r="H17" s="2" t="s">
        <v>31</v>
      </c>
      <c r="I17" s="2" t="s">
        <v>80</v>
      </c>
      <c r="J17" s="3" t="n">
        <v>8.0</v>
      </c>
      <c r="K17" s="7" t="n">
        <v>0.0</v>
      </c>
      <c r="L17" s="2" t="s">
        <v>22</v>
      </c>
      <c r="M17" s="2" t="s">
        <v>81</v>
      </c>
    </row>
    <row r="18" ht="12.75" customHeight="true">
      <c r="A18" s="5" t="str">
        <f>HYPERLINK("https://devcloud.cn-east-3.huaweicloud.com/projectman/scrum/78b2e310f37c4e28bfb3ef86179ac134/task/detail/713129939","713129939")</f>
        <v>713129939</v>
      </c>
      <c r="B18" s="2" t="s">
        <v>82</v>
      </c>
      <c r="C18" s="2" t="s">
        <v>77</v>
      </c>
      <c r="D18" s="2" t="s">
        <v>16</v>
      </c>
      <c r="E18" s="2" t="s">
        <v>17</v>
      </c>
      <c r="F18" s="2" t="s">
        <v>78</v>
      </c>
      <c r="G18" s="2" t="s">
        <v>79</v>
      </c>
      <c r="H18" s="2" t="s">
        <v>31</v>
      </c>
      <c r="I18" s="2" t="s">
        <v>83</v>
      </c>
      <c r="J18" s="3" t="n">
        <v>8.0</v>
      </c>
      <c r="K18" s="7" t="n">
        <v>0.0</v>
      </c>
      <c r="L18" s="2" t="s">
        <v>22</v>
      </c>
      <c r="M18" s="2" t="s">
        <v>84</v>
      </c>
    </row>
    <row r="19" ht="12.75" customHeight="true">
      <c r="A19" s="5" t="str">
        <f>HYPERLINK("https://devcloud.cn-east-3.huaweicloud.com/projectman/scrum/78b2e310f37c4e28bfb3ef86179ac134/task/detail/713129793","713129793")</f>
        <v>713129793</v>
      </c>
      <c r="B19" s="2" t="s">
        <v>85</v>
      </c>
      <c r="C19" s="2" t="s">
        <v>77</v>
      </c>
      <c r="D19" s="2" t="s">
        <v>16</v>
      </c>
      <c r="E19" s="2" t="s">
        <v>17</v>
      </c>
      <c r="F19" s="2" t="s">
        <v>78</v>
      </c>
      <c r="G19" s="2" t="s">
        <v>79</v>
      </c>
      <c r="H19" s="2" t="s">
        <v>31</v>
      </c>
      <c r="I19" s="2" t="s">
        <v>86</v>
      </c>
      <c r="J19" s="3" t="n">
        <v>18.0</v>
      </c>
      <c r="K19" s="7" t="n">
        <v>0.0</v>
      </c>
      <c r="L19" s="2" t="s">
        <v>22</v>
      </c>
      <c r="M19" s="2" t="s">
        <v>87</v>
      </c>
    </row>
    <row r="20" ht="12.75" customHeight="true">
      <c r="A20" s="5" t="str">
        <f>HYPERLINK("https://devcloud.cn-east-3.huaweicloud.com/projectman/scrum/78b2e310f37c4e28bfb3ef86179ac134/task/detail/713129791","713129791")</f>
        <v>713129791</v>
      </c>
      <c r="B20" s="2" t="s">
        <v>88</v>
      </c>
      <c r="C20" s="2" t="s">
        <v>77</v>
      </c>
      <c r="D20" s="2" t="s">
        <v>16</v>
      </c>
      <c r="E20" s="2" t="s">
        <v>17</v>
      </c>
      <c r="F20" s="2" t="s">
        <v>78</v>
      </c>
      <c r="G20" s="2" t="s">
        <v>79</v>
      </c>
      <c r="H20" s="2" t="s">
        <v>31</v>
      </c>
      <c r="I20" s="2" t="s">
        <v>89</v>
      </c>
      <c r="J20" s="3" t="n">
        <v>0.0</v>
      </c>
      <c r="K20" s="7" t="n">
        <v>0.0</v>
      </c>
      <c r="L20" s="2" t="s">
        <v>22</v>
      </c>
      <c r="M20" s="2" t="s">
        <v>90</v>
      </c>
    </row>
    <row r="21" ht="12.75" customHeight="true">
      <c r="A21" s="5" t="str">
        <f>HYPERLINK("https://devcloud.cn-east-3.huaweicloud.com/projectman/scrum/78b2e310f37c4e28bfb3ef86179ac134/task/detail/713129789","713129789")</f>
        <v>713129789</v>
      </c>
      <c r="B21" s="2" t="s">
        <v>91</v>
      </c>
      <c r="C21" s="2" t="s">
        <v>77</v>
      </c>
      <c r="D21" s="2" t="s">
        <v>16</v>
      </c>
      <c r="E21" s="2" t="s">
        <v>17</v>
      </c>
      <c r="F21" s="2" t="s">
        <v>78</v>
      </c>
      <c r="G21" s="2" t="s">
        <v>79</v>
      </c>
      <c r="H21" s="2" t="s">
        <v>31</v>
      </c>
      <c r="I21" s="2" t="s">
        <v>92</v>
      </c>
      <c r="J21" s="3" t="n">
        <v>2.0</v>
      </c>
      <c r="K21" s="7" t="n">
        <v>0.0</v>
      </c>
      <c r="L21" s="2" t="s">
        <v>22</v>
      </c>
      <c r="M21" s="2" t="s">
        <v>93</v>
      </c>
    </row>
    <row r="22" ht="12.75" customHeight="true">
      <c r="A22" s="5" t="str">
        <f>HYPERLINK("https://devcloud.cn-east-3.huaweicloud.com/projectman/scrum/78b2e310f37c4e28bfb3ef86179ac134/task/detail/713129788","713129788")</f>
        <v>713129788</v>
      </c>
      <c r="B22" s="2" t="s">
        <v>94</v>
      </c>
      <c r="C22" s="2" t="s">
        <v>77</v>
      </c>
      <c r="D22" s="2" t="s">
        <v>16</v>
      </c>
      <c r="E22" s="2" t="s">
        <v>17</v>
      </c>
      <c r="F22" s="2" t="s">
        <v>78</v>
      </c>
      <c r="G22" s="2" t="s">
        <v>79</v>
      </c>
      <c r="H22" s="2" t="s">
        <v>31</v>
      </c>
      <c r="I22" s="2" t="s">
        <v>95</v>
      </c>
      <c r="J22" s="3" t="n">
        <v>4.0</v>
      </c>
      <c r="K22" s="7" t="n">
        <v>0.0</v>
      </c>
      <c r="L22" s="2" t="s">
        <v>22</v>
      </c>
      <c r="M22" s="2" t="s">
        <v>96</v>
      </c>
    </row>
    <row r="23" ht="12.75" customHeight="true">
      <c r="A23" s="5" t="str">
        <f>HYPERLINK("https://devcloud.cn-east-3.huaweicloud.com/projectman/scrum/78b2e310f37c4e28bfb3ef86179ac134/task/detail/713129786","713129786")</f>
        <v>713129786</v>
      </c>
      <c r="B23" s="2" t="s">
        <v>97</v>
      </c>
      <c r="C23" s="2" t="s">
        <v>77</v>
      </c>
      <c r="D23" s="2" t="s">
        <v>16</v>
      </c>
      <c r="E23" s="2" t="s">
        <v>17</v>
      </c>
      <c r="F23" s="2" t="s">
        <v>78</v>
      </c>
      <c r="G23" s="2" t="s">
        <v>79</v>
      </c>
      <c r="H23" s="2" t="s">
        <v>31</v>
      </c>
      <c r="I23" s="2" t="s">
        <v>98</v>
      </c>
      <c r="J23" s="3" t="n">
        <v>12.0</v>
      </c>
      <c r="K23" s="7" t="n">
        <v>0.0</v>
      </c>
      <c r="L23" s="2" t="s">
        <v>22</v>
      </c>
      <c r="M23" s="2" t="s">
        <v>99</v>
      </c>
    </row>
    <row r="24" ht="12.75" customHeight="true">
      <c r="A24" s="5" t="str">
        <f>HYPERLINK("https://devcloud.cn-east-3.huaweicloud.com/projectman/scrum/78b2e310f37c4e28bfb3ef86179ac134/task/detail/713072571","713072571")</f>
        <v>713072571</v>
      </c>
      <c r="B24" s="2" t="s">
        <v>100</v>
      </c>
      <c r="C24" s="2"/>
      <c r="D24" s="2" t="s">
        <v>61</v>
      </c>
      <c r="E24" s="2" t="s">
        <v>17</v>
      </c>
      <c r="F24" s="2" t="s">
        <v>0</v>
      </c>
      <c r="G24" s="2" t="s">
        <v>0</v>
      </c>
      <c r="H24" s="2" t="s">
        <v>31</v>
      </c>
      <c r="I24" s="2" t="s">
        <v>101</v>
      </c>
      <c r="J24" s="3" t="n">
        <v>1.0</v>
      </c>
      <c r="K24" s="7" t="n">
        <v>0.0</v>
      </c>
      <c r="L24" s="2" t="s">
        <v>22</v>
      </c>
      <c r="M24" s="2" t="s">
        <v>102</v>
      </c>
    </row>
    <row r="25" ht="12.75" customHeight="true">
      <c r="A25" s="5" t="str">
        <f>HYPERLINK("https://devcloud.cn-east-3.huaweicloud.com/projectman/scrum/78b2e310f37c4e28bfb3ef86179ac134/task/detail/713051986","713051986")</f>
        <v>713051986</v>
      </c>
      <c r="B25" s="2" t="s">
        <v>103</v>
      </c>
      <c r="C25" s="2" t="s">
        <v>104</v>
      </c>
      <c r="D25" s="2" t="s">
        <v>16</v>
      </c>
      <c r="E25" s="2" t="s">
        <v>17</v>
      </c>
      <c r="F25" s="2" t="s">
        <v>0</v>
      </c>
      <c r="G25" s="2" t="s">
        <v>0</v>
      </c>
      <c r="H25" s="2" t="s">
        <v>31</v>
      </c>
      <c r="I25" s="2" t="s">
        <v>105</v>
      </c>
      <c r="J25" s="3" t="n">
        <v>4.0</v>
      </c>
      <c r="K25" s="7" t="n">
        <v>0.0</v>
      </c>
      <c r="L25" s="2" t="s">
        <v>22</v>
      </c>
      <c r="M25" s="2" t="s">
        <v>106</v>
      </c>
    </row>
    <row r="26" ht="12.75" customHeight="true">
      <c r="A26" s="5" t="str">
        <f>HYPERLINK("https://devcloud.cn-east-3.huaweicloud.com/projectman/scrum/78b2e310f37c4e28bfb3ef86179ac134/task/detail/712894927","712894927")</f>
        <v>712894927</v>
      </c>
      <c r="B26" s="2" t="s">
        <v>107</v>
      </c>
      <c r="C26" s="2" t="s">
        <v>108</v>
      </c>
      <c r="D26" s="2" t="s">
        <v>16</v>
      </c>
      <c r="E26" s="2" t="s">
        <v>17</v>
      </c>
      <c r="F26" s="2" t="s">
        <v>0</v>
      </c>
      <c r="G26" s="2" t="s">
        <v>0</v>
      </c>
      <c r="H26" s="2" t="s">
        <v>31</v>
      </c>
      <c r="I26" s="2" t="s">
        <v>109</v>
      </c>
      <c r="J26" s="3" t="n">
        <v>22.0</v>
      </c>
      <c r="K26" s="7" t="n">
        <v>0.0</v>
      </c>
      <c r="L26" s="2" t="s">
        <v>22</v>
      </c>
      <c r="M26" s="2" t="s">
        <v>110</v>
      </c>
    </row>
    <row r="27" ht="12.75" customHeight="true">
      <c r="A27" s="5" t="str">
        <f>HYPERLINK("https://devcloud.cn-east-3.huaweicloud.com/projectman/scrum/78b2e310f37c4e28bfb3ef86179ac134/task/detail/712889574","712889574")</f>
        <v>712889574</v>
      </c>
      <c r="B27" s="2" t="s">
        <v>111</v>
      </c>
      <c r="C27" s="2" t="s">
        <v>112</v>
      </c>
      <c r="D27" s="2" t="s">
        <v>16</v>
      </c>
      <c r="E27" s="2" t="s">
        <v>17</v>
      </c>
      <c r="F27" s="2" t="s">
        <v>0</v>
      </c>
      <c r="G27" s="2" t="s">
        <v>0</v>
      </c>
      <c r="H27" s="2" t="s">
        <v>31</v>
      </c>
      <c r="I27" s="2" t="s">
        <v>113</v>
      </c>
      <c r="J27" s="3" t="n">
        <v>8.0</v>
      </c>
      <c r="K27" s="7" t="n">
        <v>0.0</v>
      </c>
      <c r="L27" s="2" t="s">
        <v>22</v>
      </c>
      <c r="M27" s="2" t="s">
        <v>114</v>
      </c>
    </row>
    <row r="28" ht="12.75" customHeight="true">
      <c r="A28" s="5" t="str">
        <f>HYPERLINK("https://devcloud.cn-east-3.huaweicloud.com/projectman/scrum/78b2e310f37c4e28bfb3ef86179ac134/task/detail/712886442","712886442")</f>
        <v>712886442</v>
      </c>
      <c r="B28" s="2" t="s">
        <v>115</v>
      </c>
      <c r="C28" s="2" t="s">
        <v>116</v>
      </c>
      <c r="D28" s="2" t="s">
        <v>16</v>
      </c>
      <c r="E28" s="2" t="s">
        <v>17</v>
      </c>
      <c r="F28" s="2" t="s">
        <v>117</v>
      </c>
      <c r="G28" s="2" t="s">
        <v>118</v>
      </c>
      <c r="H28" s="2" t="s">
        <v>31</v>
      </c>
      <c r="I28" s="2" t="s">
        <v>119</v>
      </c>
      <c r="J28" s="3" t="n">
        <v>24.0</v>
      </c>
      <c r="K28" s="7" t="n">
        <v>0.0</v>
      </c>
      <c r="L28" s="2" t="s">
        <v>22</v>
      </c>
      <c r="M28" s="2" t="s">
        <v>120</v>
      </c>
    </row>
    <row r="29" ht="12.75" customHeight="true">
      <c r="A29" s="5" t="str">
        <f>HYPERLINK("https://devcloud.cn-east-3.huaweicloud.com/projectman/scrum/78b2e310f37c4e28bfb3ef86179ac134/task/detail/712882111","712882111")</f>
        <v>712882111</v>
      </c>
      <c r="B29" s="2" t="s">
        <v>121</v>
      </c>
      <c r="C29" s="2" t="s">
        <v>116</v>
      </c>
      <c r="D29" s="2" t="s">
        <v>16</v>
      </c>
      <c r="E29" s="2" t="s">
        <v>17</v>
      </c>
      <c r="F29" s="2" t="s">
        <v>117</v>
      </c>
      <c r="G29" s="2" t="s">
        <v>118</v>
      </c>
      <c r="H29" s="2" t="s">
        <v>31</v>
      </c>
      <c r="I29" s="2" t="s">
        <v>122</v>
      </c>
      <c r="J29" s="3" t="n">
        <v>31.0</v>
      </c>
      <c r="K29" s="7" t="n">
        <v>0.33</v>
      </c>
      <c r="L29" s="2" t="s">
        <v>22</v>
      </c>
      <c r="M29" s="2" t="s">
        <v>123</v>
      </c>
    </row>
    <row r="30" ht="12.75" customHeight="true">
      <c r="A30" s="5" t="str">
        <f>HYPERLINK("https://devcloud.cn-east-3.huaweicloud.com/projectman/scrum/78b2e310f37c4e28bfb3ef86179ac134/task/detail/712880485","712880485")</f>
        <v>712880485</v>
      </c>
      <c r="B30" s="2" t="s">
        <v>124</v>
      </c>
      <c r="C30" s="2" t="s">
        <v>116</v>
      </c>
      <c r="D30" s="2" t="s">
        <v>16</v>
      </c>
      <c r="E30" s="2" t="s">
        <v>17</v>
      </c>
      <c r="F30" s="2" t="s">
        <v>117</v>
      </c>
      <c r="G30" s="2" t="s">
        <v>118</v>
      </c>
      <c r="H30" s="2" t="s">
        <v>31</v>
      </c>
      <c r="I30" s="2" t="s">
        <v>125</v>
      </c>
      <c r="J30" s="3" t="n">
        <v>21.0</v>
      </c>
      <c r="K30" s="7" t="n">
        <v>0.33</v>
      </c>
      <c r="L30" s="2" t="s">
        <v>22</v>
      </c>
      <c r="M30" s="2" t="s">
        <v>126</v>
      </c>
    </row>
    <row r="31" ht="12.75" customHeight="true">
      <c r="A31" s="5" t="str">
        <f>HYPERLINK("https://devcloud.cn-east-3.huaweicloud.com/projectman/scrum/78b2e310f37c4e28bfb3ef86179ac134/task/detail/712880484","712880484")</f>
        <v>712880484</v>
      </c>
      <c r="B31" s="2" t="s">
        <v>127</v>
      </c>
      <c r="C31" s="2" t="s">
        <v>116</v>
      </c>
      <c r="D31" s="2" t="s">
        <v>16</v>
      </c>
      <c r="E31" s="2" t="s">
        <v>17</v>
      </c>
      <c r="F31" s="2" t="s">
        <v>117</v>
      </c>
      <c r="G31" s="2" t="s">
        <v>118</v>
      </c>
      <c r="H31" s="2" t="s">
        <v>31</v>
      </c>
      <c r="I31" s="2" t="s">
        <v>128</v>
      </c>
      <c r="J31" s="3" t="n">
        <v>11.0</v>
      </c>
      <c r="K31" s="7" t="n">
        <v>0.0</v>
      </c>
      <c r="L31" s="2" t="s">
        <v>22</v>
      </c>
      <c r="M31" s="2" t="s">
        <v>129</v>
      </c>
    </row>
    <row r="32" ht="12.75" customHeight="true">
      <c r="A32" s="5" t="str">
        <f>HYPERLINK("https://devcloud.cn-east-3.huaweicloud.com/projectman/scrum/78b2e310f37c4e28bfb3ef86179ac134/task/detail/712880481","712880481")</f>
        <v>712880481</v>
      </c>
      <c r="B32" s="2" t="s">
        <v>130</v>
      </c>
      <c r="C32" s="2"/>
      <c r="D32" s="2" t="s">
        <v>61</v>
      </c>
      <c r="E32" s="2" t="s">
        <v>17</v>
      </c>
      <c r="F32" s="2" t="s">
        <v>131</v>
      </c>
      <c r="G32" s="2" t="s">
        <v>132</v>
      </c>
      <c r="H32" s="2" t="s">
        <v>31</v>
      </c>
      <c r="I32" s="2" t="s">
        <v>133</v>
      </c>
      <c r="J32" s="3" t="n">
        <v>0.0</v>
      </c>
      <c r="K32" s="7" t="n">
        <v>0.0</v>
      </c>
      <c r="L32" s="2" t="s">
        <v>22</v>
      </c>
      <c r="M32" s="2" t="s">
        <v>134</v>
      </c>
    </row>
    <row r="33" ht="12.75" customHeight="true">
      <c r="A33" s="5" t="str">
        <f>HYPERLINK("https://devcloud.cn-east-3.huaweicloud.com/projectman/scrum/78b2e310f37c4e28bfb3ef86179ac134/task/detail/712880478","712880478")</f>
        <v>712880478</v>
      </c>
      <c r="B33" s="2" t="s">
        <v>135</v>
      </c>
      <c r="C33" s="2" t="s">
        <v>116</v>
      </c>
      <c r="D33" s="2" t="s">
        <v>16</v>
      </c>
      <c r="E33" s="2" t="s">
        <v>17</v>
      </c>
      <c r="F33" s="2" t="s">
        <v>117</v>
      </c>
      <c r="G33" s="2" t="s">
        <v>118</v>
      </c>
      <c r="H33" s="2" t="s">
        <v>31</v>
      </c>
      <c r="I33" s="2" t="s">
        <v>136</v>
      </c>
      <c r="J33" s="3" t="n">
        <v>21.0</v>
      </c>
      <c r="K33" s="7" t="n">
        <v>0.0</v>
      </c>
      <c r="L33" s="2" t="s">
        <v>22</v>
      </c>
      <c r="M33" s="2" t="s">
        <v>137</v>
      </c>
    </row>
    <row r="34" ht="12.75" customHeight="true">
      <c r="A34" s="5" t="str">
        <f>HYPERLINK("https://devcloud.cn-east-3.huaweicloud.com/projectman/scrum/78b2e310f37c4e28bfb3ef86179ac134/task/detail/712880475","712880475")</f>
        <v>712880475</v>
      </c>
      <c r="B34" s="2" t="s">
        <v>138</v>
      </c>
      <c r="C34" s="2" t="s">
        <v>116</v>
      </c>
      <c r="D34" s="2" t="s">
        <v>16</v>
      </c>
      <c r="E34" s="2" t="s">
        <v>17</v>
      </c>
      <c r="F34" s="2" t="s">
        <v>117</v>
      </c>
      <c r="G34" s="2" t="s">
        <v>118</v>
      </c>
      <c r="H34" s="2" t="s">
        <v>31</v>
      </c>
      <c r="I34" s="2" t="s">
        <v>139</v>
      </c>
      <c r="J34" s="3" t="n">
        <v>27.0</v>
      </c>
      <c r="K34" s="7" t="n">
        <v>0.0</v>
      </c>
      <c r="L34" s="2" t="s">
        <v>22</v>
      </c>
      <c r="M34" s="2" t="s">
        <v>140</v>
      </c>
    </row>
    <row r="35" ht="12.75" customHeight="true">
      <c r="A35" s="5" t="str">
        <f>HYPERLINK("https://devcloud.cn-east-3.huaweicloud.com/projectman/scrum/78b2e310f37c4e28bfb3ef86179ac134/task/detail/712880471","712880471")</f>
        <v>712880471</v>
      </c>
      <c r="B35" s="2" t="s">
        <v>141</v>
      </c>
      <c r="C35" s="2" t="s">
        <v>41</v>
      </c>
      <c r="D35" s="2" t="s">
        <v>16</v>
      </c>
      <c r="E35" s="2" t="s">
        <v>17</v>
      </c>
      <c r="F35" s="2" t="s">
        <v>42</v>
      </c>
      <c r="G35" s="2" t="s">
        <v>43</v>
      </c>
      <c r="H35" s="2" t="s">
        <v>31</v>
      </c>
      <c r="I35" s="2" t="s">
        <v>142</v>
      </c>
      <c r="J35" s="3" t="n">
        <v>20.0</v>
      </c>
      <c r="K35" s="7" t="n">
        <v>0.0</v>
      </c>
      <c r="L35" s="2" t="s">
        <v>22</v>
      </c>
      <c r="M35" s="2" t="s">
        <v>143</v>
      </c>
    </row>
    <row r="36" ht="12.75" customHeight="true">
      <c r="A36" s="5" t="str">
        <f>HYPERLINK("https://devcloud.cn-east-3.huaweicloud.com/projectman/scrum/78b2e310f37c4e28bfb3ef86179ac134/task/detail/712880470","712880470")</f>
        <v>712880470</v>
      </c>
      <c r="B36" s="2" t="s">
        <v>144</v>
      </c>
      <c r="C36" s="2" t="s">
        <v>41</v>
      </c>
      <c r="D36" s="2" t="s">
        <v>16</v>
      </c>
      <c r="E36" s="2" t="s">
        <v>17</v>
      </c>
      <c r="F36" s="2" t="s">
        <v>42</v>
      </c>
      <c r="G36" s="2" t="s">
        <v>43</v>
      </c>
      <c r="H36" s="2" t="s">
        <v>31</v>
      </c>
      <c r="I36" s="2" t="s">
        <v>145</v>
      </c>
      <c r="J36" s="3" t="n">
        <v>64.0</v>
      </c>
      <c r="K36" s="7" t="n">
        <v>0.0</v>
      </c>
      <c r="L36" s="2" t="s">
        <v>22</v>
      </c>
      <c r="M36" s="2" t="s">
        <v>146</v>
      </c>
    </row>
    <row r="37" ht="12.75" customHeight="true">
      <c r="A37" s="5" t="str">
        <f>HYPERLINK("https://devcloud.cn-east-3.huaweicloud.com/projectman/scrum/78b2e310f37c4e28bfb3ef86179ac134/task/detail/712880469","712880469")</f>
        <v>712880469</v>
      </c>
      <c r="B37" s="2" t="s">
        <v>147</v>
      </c>
      <c r="C37" s="2" t="s">
        <v>41</v>
      </c>
      <c r="D37" s="2" t="s">
        <v>16</v>
      </c>
      <c r="E37" s="2" t="s">
        <v>17</v>
      </c>
      <c r="F37" s="2" t="s">
        <v>42</v>
      </c>
      <c r="G37" s="2" t="s">
        <v>43</v>
      </c>
      <c r="H37" s="2" t="s">
        <v>31</v>
      </c>
      <c r="I37" s="2" t="s">
        <v>148</v>
      </c>
      <c r="J37" s="3" t="n">
        <v>24.0</v>
      </c>
      <c r="K37" s="7" t="n">
        <v>0.0</v>
      </c>
      <c r="L37" s="2" t="s">
        <v>22</v>
      </c>
      <c r="M37" s="2" t="s">
        <v>149</v>
      </c>
    </row>
    <row r="38" ht="12.75" customHeight="true">
      <c r="A38" s="5" t="str">
        <f>HYPERLINK("https://devcloud.cn-east-3.huaweicloud.com/projectman/scrum/78b2e310f37c4e28bfb3ef86179ac134/task/detail/712880468","712880468")</f>
        <v>712880468</v>
      </c>
      <c r="B38" s="2" t="s">
        <v>150</v>
      </c>
      <c r="C38" s="2" t="s">
        <v>77</v>
      </c>
      <c r="D38" s="2" t="s">
        <v>16</v>
      </c>
      <c r="E38" s="2" t="s">
        <v>17</v>
      </c>
      <c r="F38" s="2" t="s">
        <v>78</v>
      </c>
      <c r="G38" s="2" t="s">
        <v>79</v>
      </c>
      <c r="H38" s="2" t="s">
        <v>31</v>
      </c>
      <c r="I38" s="2" t="s">
        <v>151</v>
      </c>
      <c r="J38" s="3" t="n">
        <v>8.0</v>
      </c>
      <c r="K38" s="7" t="n">
        <v>0.0</v>
      </c>
      <c r="L38" s="2" t="s">
        <v>22</v>
      </c>
      <c r="M38" s="2" t="s">
        <v>152</v>
      </c>
    </row>
    <row r="39" ht="12.75" customHeight="true">
      <c r="A39" s="5" t="str">
        <f>HYPERLINK("https://devcloud.cn-east-3.huaweicloud.com/projectman/scrum/78b2e310f37c4e28bfb3ef86179ac134/task/detail/712880467","712880467")</f>
        <v>712880467</v>
      </c>
      <c r="B39" s="2" t="s">
        <v>153</v>
      </c>
      <c r="C39" s="2" t="s">
        <v>116</v>
      </c>
      <c r="D39" s="2" t="s">
        <v>16</v>
      </c>
      <c r="E39" s="2" t="s">
        <v>17</v>
      </c>
      <c r="F39" s="2" t="s">
        <v>154</v>
      </c>
      <c r="G39" s="2" t="s">
        <v>155</v>
      </c>
      <c r="H39" s="2" t="s">
        <v>31</v>
      </c>
      <c r="I39" s="2" t="s">
        <v>156</v>
      </c>
      <c r="J39" s="3" t="n">
        <v>7.0</v>
      </c>
      <c r="K39" s="7" t="n">
        <v>0.0</v>
      </c>
      <c r="L39" s="2" t="s">
        <v>22</v>
      </c>
      <c r="M39" s="2" t="s">
        <v>157</v>
      </c>
    </row>
    <row r="40" ht="12.75" customHeight="true">
      <c r="A40" s="5" t="str">
        <f>HYPERLINK("https://devcloud.cn-east-3.huaweicloud.com/projectman/scrum/78b2e310f37c4e28bfb3ef86179ac134/task/detail/712880466","712880466")</f>
        <v>712880466</v>
      </c>
      <c r="B40" s="2" t="s">
        <v>158</v>
      </c>
      <c r="C40" s="2" t="s">
        <v>116</v>
      </c>
      <c r="D40" s="2" t="s">
        <v>16</v>
      </c>
      <c r="E40" s="2" t="s">
        <v>17</v>
      </c>
      <c r="F40" s="2" t="s">
        <v>154</v>
      </c>
      <c r="G40" s="2" t="s">
        <v>155</v>
      </c>
      <c r="H40" s="2" t="s">
        <v>31</v>
      </c>
      <c r="I40" s="2" t="s">
        <v>159</v>
      </c>
      <c r="J40" s="3" t="n">
        <v>16.0</v>
      </c>
      <c r="K40" s="7" t="n">
        <v>0.0</v>
      </c>
      <c r="L40" s="2" t="s">
        <v>22</v>
      </c>
      <c r="M40" s="2" t="s">
        <v>160</v>
      </c>
    </row>
    <row r="41" ht="12.75" customHeight="true">
      <c r="A41" s="5" t="str">
        <f>HYPERLINK("https://devcloud.cn-east-3.huaweicloud.com/projectman/scrum/78b2e310f37c4e28bfb3ef86179ac134/task/detail/712880464","712880464")</f>
        <v>712880464</v>
      </c>
      <c r="B41" s="2" t="s">
        <v>161</v>
      </c>
      <c r="C41" s="2" t="s">
        <v>116</v>
      </c>
      <c r="D41" s="2" t="s">
        <v>16</v>
      </c>
      <c r="E41" s="2" t="s">
        <v>17</v>
      </c>
      <c r="F41" s="2" t="s">
        <v>154</v>
      </c>
      <c r="G41" s="2" t="s">
        <v>155</v>
      </c>
      <c r="H41" s="2" t="s">
        <v>31</v>
      </c>
      <c r="I41" s="2" t="s">
        <v>162</v>
      </c>
      <c r="J41" s="3" t="n">
        <v>38.0</v>
      </c>
      <c r="K41" s="7" t="n">
        <v>0.33</v>
      </c>
      <c r="L41" s="2" t="s">
        <v>22</v>
      </c>
      <c r="M41" s="2" t="s">
        <v>163</v>
      </c>
    </row>
    <row r="42" ht="12.75" customHeight="true">
      <c r="A42" s="5" t="str">
        <f>HYPERLINK("https://devcloud.cn-east-3.huaweicloud.com/projectman/scrum/78b2e310f37c4e28bfb3ef86179ac134/task/detail/712880463","712880463")</f>
        <v>712880463</v>
      </c>
      <c r="B42" s="2" t="s">
        <v>164</v>
      </c>
      <c r="C42" s="2" t="s">
        <v>116</v>
      </c>
      <c r="D42" s="2" t="s">
        <v>16</v>
      </c>
      <c r="E42" s="2" t="s">
        <v>17</v>
      </c>
      <c r="F42" s="2" t="s">
        <v>154</v>
      </c>
      <c r="G42" s="2" t="s">
        <v>155</v>
      </c>
      <c r="H42" s="2" t="s">
        <v>31</v>
      </c>
      <c r="I42" s="2" t="s">
        <v>165</v>
      </c>
      <c r="J42" s="3" t="n">
        <v>12.0</v>
      </c>
      <c r="K42" s="7" t="n">
        <v>0.33</v>
      </c>
      <c r="L42" s="2" t="s">
        <v>22</v>
      </c>
      <c r="M42" s="2" t="s">
        <v>166</v>
      </c>
    </row>
    <row r="43" ht="12.75" customHeight="true">
      <c r="A43" s="5" t="str">
        <f>HYPERLINK("https://devcloud.cn-east-3.huaweicloud.com/projectman/scrum/78b2e310f37c4e28bfb3ef86179ac134/task/detail/712880454","712880454")</f>
        <v>712880454</v>
      </c>
      <c r="B43" s="2" t="s">
        <v>167</v>
      </c>
      <c r="C43" s="2" t="s">
        <v>116</v>
      </c>
      <c r="D43" s="2" t="s">
        <v>16</v>
      </c>
      <c r="E43" s="2" t="s">
        <v>17</v>
      </c>
      <c r="F43" s="2" t="s">
        <v>154</v>
      </c>
      <c r="G43" s="2" t="s">
        <v>155</v>
      </c>
      <c r="H43" s="2" t="s">
        <v>31</v>
      </c>
      <c r="I43" s="2" t="s">
        <v>168</v>
      </c>
      <c r="J43" s="3" t="n">
        <v>108.0</v>
      </c>
      <c r="K43" s="7" t="n">
        <v>0.16</v>
      </c>
      <c r="L43" s="2" t="s">
        <v>22</v>
      </c>
      <c r="M43" s="2" t="s">
        <v>169</v>
      </c>
    </row>
    <row r="44" ht="12.75" customHeight="true">
      <c r="A44" s="5" t="str">
        <f>HYPERLINK("https://devcloud.cn-east-3.huaweicloud.com/projectman/scrum/78b2e310f37c4e28bfb3ef86179ac134/task/detail/712880451","712880451")</f>
        <v>712880451</v>
      </c>
      <c r="B44" s="2" t="s">
        <v>170</v>
      </c>
      <c r="C44" s="2" t="s">
        <v>116</v>
      </c>
      <c r="D44" s="2" t="s">
        <v>16</v>
      </c>
      <c r="E44" s="2" t="s">
        <v>17</v>
      </c>
      <c r="F44" s="2" t="s">
        <v>117</v>
      </c>
      <c r="G44" s="2" t="s">
        <v>118</v>
      </c>
      <c r="H44" s="2" t="s">
        <v>31</v>
      </c>
      <c r="I44" s="2" t="s">
        <v>171</v>
      </c>
      <c r="J44" s="3" t="n">
        <v>232.0</v>
      </c>
      <c r="K44" s="7" t="n">
        <v>0.0</v>
      </c>
      <c r="L44" s="2" t="s">
        <v>22</v>
      </c>
      <c r="M44" s="2" t="s">
        <v>172</v>
      </c>
    </row>
    <row r="45" ht="12.75" customHeight="true">
      <c r="A45" s="5" t="str">
        <f>HYPERLINK("https://devcloud.cn-east-3.huaweicloud.com/projectman/scrum/78b2e310f37c4e28bfb3ef86179ac134/task/detail/712880447","712880447")</f>
        <v>712880447</v>
      </c>
      <c r="B45" s="2" t="s">
        <v>173</v>
      </c>
      <c r="C45" s="2" t="s">
        <v>41</v>
      </c>
      <c r="D45" s="2" t="s">
        <v>16</v>
      </c>
      <c r="E45" s="2" t="s">
        <v>17</v>
      </c>
      <c r="F45" s="2" t="s">
        <v>42</v>
      </c>
      <c r="G45" s="2" t="s">
        <v>43</v>
      </c>
      <c r="H45" s="2" t="s">
        <v>31</v>
      </c>
      <c r="I45" s="2" t="s">
        <v>174</v>
      </c>
      <c r="J45" s="3" t="n">
        <v>72.0</v>
      </c>
      <c r="K45" s="7" t="n">
        <v>0.0</v>
      </c>
      <c r="L45" s="2" t="s">
        <v>22</v>
      </c>
      <c r="M45" s="2" t="s">
        <v>175</v>
      </c>
    </row>
    <row r="46" ht="12.75" customHeight="true">
      <c r="A46" s="5" t="str">
        <f>HYPERLINK("https://devcloud.cn-east-3.huaweicloud.com/projectman/scrum/78b2e310f37c4e28bfb3ef86179ac134/task/detail/712880446","712880446")</f>
        <v>712880446</v>
      </c>
      <c r="B46" s="2" t="s">
        <v>176</v>
      </c>
      <c r="C46" s="2" t="s">
        <v>116</v>
      </c>
      <c r="D46" s="2" t="s">
        <v>16</v>
      </c>
      <c r="E46" s="2" t="s">
        <v>17</v>
      </c>
      <c r="F46" s="2" t="s">
        <v>154</v>
      </c>
      <c r="G46" s="2" t="s">
        <v>155</v>
      </c>
      <c r="H46" s="2" t="s">
        <v>31</v>
      </c>
      <c r="I46" s="2" t="s">
        <v>177</v>
      </c>
      <c r="J46" s="3" t="n">
        <v>104.5</v>
      </c>
      <c r="K46" s="7" t="n">
        <v>0.03</v>
      </c>
      <c r="L46" s="2" t="s">
        <v>22</v>
      </c>
      <c r="M46" s="2" t="s">
        <v>178</v>
      </c>
    </row>
    <row r="47" ht="12.75" customHeight="true">
      <c r="A47" s="5" t="str">
        <f>HYPERLINK("https://devcloud.cn-east-3.huaweicloud.com/projectman/scrum/78b2e310f37c4e28bfb3ef86179ac134/task/detail/712880444","712880444")</f>
        <v>712880444</v>
      </c>
      <c r="B47" s="2" t="s">
        <v>179</v>
      </c>
      <c r="C47" s="2" t="s">
        <v>116</v>
      </c>
      <c r="D47" s="2" t="s">
        <v>16</v>
      </c>
      <c r="E47" s="2" t="s">
        <v>17</v>
      </c>
      <c r="F47" s="2" t="s">
        <v>154</v>
      </c>
      <c r="G47" s="2" t="s">
        <v>155</v>
      </c>
      <c r="H47" s="2" t="s">
        <v>31</v>
      </c>
      <c r="I47" s="2" t="s">
        <v>180</v>
      </c>
      <c r="J47" s="3" t="n">
        <v>87.5</v>
      </c>
      <c r="K47" s="7" t="n">
        <v>0.05</v>
      </c>
      <c r="L47" s="2" t="s">
        <v>22</v>
      </c>
      <c r="M47" s="2" t="s">
        <v>181</v>
      </c>
    </row>
    <row r="48" ht="12.75" customHeight="true">
      <c r="A48" s="5" t="str">
        <f>HYPERLINK("https://devcloud.cn-east-3.huaweicloud.com/projectman/scrum/78b2e310f37c4e28bfb3ef86179ac134/task/detail/712880441","712880441")</f>
        <v>712880441</v>
      </c>
      <c r="B48" s="2" t="s">
        <v>182</v>
      </c>
      <c r="C48" s="2" t="s">
        <v>116</v>
      </c>
      <c r="D48" s="2" t="s">
        <v>16</v>
      </c>
      <c r="E48" s="2" t="s">
        <v>17</v>
      </c>
      <c r="F48" s="2" t="s">
        <v>154</v>
      </c>
      <c r="G48" s="2" t="s">
        <v>155</v>
      </c>
      <c r="H48" s="2" t="s">
        <v>31</v>
      </c>
      <c r="I48" s="2" t="s">
        <v>183</v>
      </c>
      <c r="J48" s="3" t="n">
        <v>141.0</v>
      </c>
      <c r="K48" s="7" t="n">
        <v>0.75</v>
      </c>
      <c r="L48" s="2" t="s">
        <v>22</v>
      </c>
      <c r="M48" s="2" t="s">
        <v>184</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2026-10-10T06:34:00Z</dcterms:created>
  <dc:creator>Apache POI</dc:creator>
</cp:coreProperties>
</file>